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D:\Power Bi\MISUO\"/>
    </mc:Choice>
  </mc:AlternateContent>
  <xr:revisionPtr revIDLastSave="0" documentId="13_ncr:1_{E54A926B-21C4-48AD-BFF1-CD8B98E1402C}" xr6:coauthVersionLast="47" xr6:coauthVersionMax="47" xr10:uidLastSave="{00000000-0000-0000-0000-000000000000}"/>
  <bookViews>
    <workbookView xWindow="-120" yWindow="-120" windowWidth="20730" windowHeight="11160" xr2:uid="{00000000-000D-0000-FFFF-FFFF00000000}"/>
  </bookViews>
  <sheets>
    <sheet name="Dashboard" sheetId="9" r:id="rId1"/>
    <sheet name="Pivot Table" sheetId="7" r:id="rId2"/>
    <sheet name="البيانات" sheetId="1" r:id="rId3"/>
  </sheets>
  <definedNames>
    <definedName name="_xlnm._FilterDatabase" localSheetId="2" hidden="1">البيانات!$A$1:$R$117</definedName>
    <definedName name="_xlcn.WorksheetConnection_MISUOCopy2Copy.xlsmTable11" hidden="1">Table1[]</definedName>
    <definedName name="Slicer_اسم_الصنف_الجديد">#N/A</definedName>
    <definedName name="Slicer_العنوان">#N/A</definedName>
    <definedName name="Slicer_اللون_المعدن21">#N/A</definedName>
    <definedName name="Slicer_كفاءة_التسليم">#N/A</definedName>
    <definedName name="Slicer_منصة_البيع_الجديد">#N/A</definedName>
  </definedNames>
  <calcPr calcId="191028"/>
  <pivotCaches>
    <pivotCache cacheId="0" r:id="rId4"/>
    <pivotCache cacheId="1"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MISUO - Copy (2) - Copy.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5" i="7" l="1"/>
  <c r="H6" i="7"/>
  <c r="D7" i="7"/>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2" i="1"/>
  <c r="K3" i="7"/>
  <c r="D4" i="7"/>
  <c r="E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E60C627-70E2-481F-81CF-466E28D8BBB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E0CCDFD-D043-4E03-B3BE-C7D90DFB30F0}" name="WorksheetConnection_MISUO - Copy (2) - Copy.xlsm!Table1" type="102" refreshedVersion="8" minRefreshableVersion="5">
    <extLst>
      <ext xmlns:x15="http://schemas.microsoft.com/office/spreadsheetml/2010/11/main" uri="{DE250136-89BD-433C-8126-D09CA5730AF9}">
        <x15:connection id="Table1" autoDelete="1">
          <x15:rangePr sourceName="_xlcn.WorksheetConnection_MISUOCopy2Copy.xlsmTable11"/>
        </x15:connection>
      </ext>
    </extLst>
  </connection>
</connections>
</file>

<file path=xl/sharedStrings.xml><?xml version="1.0" encoding="utf-8"?>
<sst xmlns="http://schemas.openxmlformats.org/spreadsheetml/2006/main" count="1518" uniqueCount="258">
  <si>
    <t>اجمالي المبيعات</t>
  </si>
  <si>
    <t>عدد الطلبات</t>
  </si>
  <si>
    <t>متوسط سعر البيع</t>
  </si>
  <si>
    <t>عدد المنتجات المباعة حسب المنصة</t>
  </si>
  <si>
    <t>الصنف الأكثر مبيعا</t>
  </si>
  <si>
    <t>المدينة الأكثر مبيعا</t>
  </si>
  <si>
    <t>عدد الأفراد والشركات</t>
  </si>
  <si>
    <t>الحالة</t>
  </si>
  <si>
    <t>Count of Orders</t>
  </si>
  <si>
    <t xml:space="preserve">Average of سعر البيع </t>
  </si>
  <si>
    <t>اسم الصنف الجديد</t>
  </si>
  <si>
    <t xml:space="preserve">Sum of سعر البيع </t>
  </si>
  <si>
    <t>اللون المعدن</t>
  </si>
  <si>
    <t xml:space="preserve">Count of سعر البيع </t>
  </si>
  <si>
    <t>كفاءة التسليم</t>
  </si>
  <si>
    <t xml:space="preserve">تم التسليم </t>
  </si>
  <si>
    <t>منصة البيع الجديد</t>
  </si>
  <si>
    <t>سرير</t>
  </si>
  <si>
    <t>أسود</t>
  </si>
  <si>
    <t>تأخير</t>
  </si>
  <si>
    <t>العنوان</t>
  </si>
  <si>
    <t>نوع العميل</t>
  </si>
  <si>
    <t>لاغي</t>
  </si>
  <si>
    <t>هومزمارت</t>
  </si>
  <si>
    <t>كنبه</t>
  </si>
  <si>
    <t>أبيض</t>
  </si>
  <si>
    <t>في الموعد</t>
  </si>
  <si>
    <t>القاهرة</t>
  </si>
  <si>
    <t>أفراد</t>
  </si>
  <si>
    <t>فشل التسليم</t>
  </si>
  <si>
    <t>شيك هومز</t>
  </si>
  <si>
    <t>تربيزه</t>
  </si>
  <si>
    <t>رمادي</t>
  </si>
  <si>
    <t>الجيزه</t>
  </si>
  <si>
    <t>شركات</t>
  </si>
  <si>
    <t>Grand Total</t>
  </si>
  <si>
    <t>اوسكار ريتن</t>
  </si>
  <si>
    <t>ركنة</t>
  </si>
  <si>
    <t>ازرق</t>
  </si>
  <si>
    <t>القليوبيه</t>
  </si>
  <si>
    <t>تاكى</t>
  </si>
  <si>
    <t>شيزلونج</t>
  </si>
  <si>
    <t>بينك</t>
  </si>
  <si>
    <t>السويس</t>
  </si>
  <si>
    <t>فيس بوك</t>
  </si>
  <si>
    <t>كرسى</t>
  </si>
  <si>
    <t>دهبي</t>
  </si>
  <si>
    <t>الاسكندريه</t>
  </si>
  <si>
    <t>منزلى</t>
  </si>
  <si>
    <t>الوان</t>
  </si>
  <si>
    <t>البحر الأحمر</t>
  </si>
  <si>
    <t>كيمت</t>
  </si>
  <si>
    <t>أسود وبنى</t>
  </si>
  <si>
    <t>أسيوط</t>
  </si>
  <si>
    <t>بنفسجى</t>
  </si>
  <si>
    <t xml:space="preserve">نبيتى </t>
  </si>
  <si>
    <t>ملون</t>
  </si>
  <si>
    <t>أسم العميل</t>
  </si>
  <si>
    <t xml:space="preserve">منصة البيع </t>
  </si>
  <si>
    <t>اسم الصنف</t>
  </si>
  <si>
    <t>نوع الصنف</t>
  </si>
  <si>
    <t>الموديل</t>
  </si>
  <si>
    <t>المقاس</t>
  </si>
  <si>
    <t>لون القماش</t>
  </si>
  <si>
    <t>المنتج</t>
  </si>
  <si>
    <t xml:space="preserve">سعر البيع </t>
  </si>
  <si>
    <t xml:space="preserve">طريقه الدفع </t>
  </si>
  <si>
    <t>المسئول عن التسليم</t>
  </si>
  <si>
    <t xml:space="preserve">خالد عبد القوى </t>
  </si>
  <si>
    <t>منطبق</t>
  </si>
  <si>
    <t xml:space="preserve">سرير منطبق الحديد ابيض والقماش ابيض </t>
  </si>
  <si>
    <t>مسبق الدفع</t>
  </si>
  <si>
    <t xml:space="preserve">شركه شحن </t>
  </si>
  <si>
    <t>محمود</t>
  </si>
  <si>
    <t xml:space="preserve">سرير منطبق اسود والقماش اسود </t>
  </si>
  <si>
    <t>كاش</t>
  </si>
  <si>
    <t>سعيد</t>
  </si>
  <si>
    <t>دورين</t>
  </si>
  <si>
    <t>كيفنج</t>
  </si>
  <si>
    <t xml:space="preserve">سرير كيفينج مقاس 90 لون ازرق </t>
  </si>
  <si>
    <t>ساندرا</t>
  </si>
  <si>
    <t>بمكتبة</t>
  </si>
  <si>
    <t xml:space="preserve">ترابيزه قهوه متحركه </t>
  </si>
  <si>
    <t xml:space="preserve">زينا </t>
  </si>
  <si>
    <t>نوفال</t>
  </si>
  <si>
    <t xml:space="preserve">سرير نوفال متر رمادى </t>
  </si>
  <si>
    <t xml:space="preserve">شيك هومز </t>
  </si>
  <si>
    <t>4*1</t>
  </si>
  <si>
    <t xml:space="preserve">كنبه سرير رمادى </t>
  </si>
  <si>
    <t xml:space="preserve">احمد </t>
  </si>
  <si>
    <t>yilmaz</t>
  </si>
  <si>
    <t>فردى</t>
  </si>
  <si>
    <t xml:space="preserve">سرير فردى ابيض </t>
  </si>
  <si>
    <t xml:space="preserve">تاكى </t>
  </si>
  <si>
    <t>ركنة بسرير</t>
  </si>
  <si>
    <t xml:space="preserve">ركنه </t>
  </si>
  <si>
    <t xml:space="preserve">كنبه </t>
  </si>
  <si>
    <t>سحارة</t>
  </si>
  <si>
    <t>٢ كنبه سحاره بمخدع</t>
  </si>
  <si>
    <t xml:space="preserve">٢ كنبه سحاره بدون مخدع </t>
  </si>
  <si>
    <t xml:space="preserve">على رشوان </t>
  </si>
  <si>
    <t>سرير نوفال ابيض مقاس ٨٠</t>
  </si>
  <si>
    <t xml:space="preserve">احمد فخرى </t>
  </si>
  <si>
    <t>سرير فردى خشب موسكى الحديد ابيض مقاس ٨٠</t>
  </si>
  <si>
    <t xml:space="preserve">لينا </t>
  </si>
  <si>
    <t>2 ميكانزم</t>
  </si>
  <si>
    <t xml:space="preserve">ترابيزه قهوه علويه جديده </t>
  </si>
  <si>
    <t xml:space="preserve">فيصل نعيم </t>
  </si>
  <si>
    <t xml:space="preserve">اوسكار ريتن </t>
  </si>
  <si>
    <t xml:space="preserve">٢ سرير كيفنج ١٢٠ اسود </t>
  </si>
  <si>
    <t>ellho elkafy</t>
  </si>
  <si>
    <t>كينج</t>
  </si>
  <si>
    <t xml:space="preserve">سرير كينج ابيض مقاس ٨٠ التصميم الجديد </t>
  </si>
  <si>
    <t>فورجينا</t>
  </si>
  <si>
    <t>٤سرير فردى خشب موسكى الحديد ابيض مقاس ٨٠</t>
  </si>
  <si>
    <t>فنسيا</t>
  </si>
  <si>
    <t xml:space="preserve">٢ فوتيه فنيسيا </t>
  </si>
  <si>
    <t>صفاء</t>
  </si>
  <si>
    <t>حسن حازم</t>
  </si>
  <si>
    <t>اسبانى</t>
  </si>
  <si>
    <t>سرير اسبانى ابيض ١٢٠</t>
  </si>
  <si>
    <t xml:space="preserve">سرير كينج ابيض </t>
  </si>
  <si>
    <t xml:space="preserve">سرير كينج اسود </t>
  </si>
  <si>
    <t>اوسكار راتن</t>
  </si>
  <si>
    <t>٢ سريرفورجينا خشب موسكى ابيض مقاس ١٢٠</t>
  </si>
  <si>
    <t>حساب شركه</t>
  </si>
  <si>
    <t>ارفيل</t>
  </si>
  <si>
    <t xml:space="preserve">٢ سرير ارفيل ١٢٠ اسود </t>
  </si>
  <si>
    <t xml:space="preserve">مسبق الدفع </t>
  </si>
  <si>
    <t>صفاء الحكيم</t>
  </si>
  <si>
    <t>سرير منطببق اسود وقماش اسود</t>
  </si>
  <si>
    <t>يوسف شناوى</t>
  </si>
  <si>
    <t>رف سحاب</t>
  </si>
  <si>
    <t xml:space="preserve">ترابيزه قهوه علويه برف سحاب </t>
  </si>
  <si>
    <t xml:space="preserve">																
سرير	منطبق	الحديد	ابيض	والقماش	ابيض											
سرير	منطبق	اسود	والقماش	اسود												
سرير	كيفينج	مقاس	90	لون	ازرق											
ترابيزه	قهوه	متحركه														
سرير	نوفال	متر	رمادى													
كنبه	سرير	رمادى														
كنبه	سرير	رمادى														
سرير	فردى	ابيض														
ركنه																
٢	كنبه	سحاره	بمخدع													
٢	كنبه	سحاره	بدون	مخدع												
٢	كنبه	سحاره	بدون	مخدع												
سرير	نوفال	ابيض	مقاس	٨٠												
سرير	فردى	خشب	موسكى	الحديد	ابيض	مقاس	٨٠									
ترابيزه	قهوه	علويه	جديده													
٢	سرير	كيفنج	١٢٠	اسود												
٢	سرير	كيفنج	١٢٠	اسود												
سرير	كينج	ابيض	مقاس	٨٠	التصميم	الجديد										
٤سرير	فردى	خشب	موسكى	الحديد	ابيض	مقاس	٨٠									
٢	فوتيه	فنيسيا														
٤سرير	فردى	خشب	موسكى	الحديد	ابيض	مقاس	٨٠									
٤سرير	فردى	خشب	موسكى	الحديد	ابيض	مقاس	٨٠									
٤سرير	فردى	خشب	موسكى	الحديد	ابيض	مقاس	٨٠									
ترابيزه	قهوه	علويه	جديده													
سرير	اسبانى	ابيض	١٢٠													
سرير	كينج	ابيض														
سرير	كينج	اسود														
٢	سريرفورجينا	خشب	موسكى	ابيض	مقاس	١٢٠										
٢	سريرفورجينا	خشب	موسكى	ابيض	مقاس	١٢٠										
٢	سرير	ارفيل	١٢٠	اسود												
٢	سرير	ارفيل	١٢٠	اسود												
سرير	منطببق	اسود	وقماش	اسود												
ترابيزه	قهوه	علويه	برف	سحاب												
سرير	منطبق	اسود	حديد	وقماش												
ترابيزه	قهوه	علويه	جديده													
سرير	٣	ادورا	اسود	مقاس	١٠٠											
سرير	اسبانى	اسود	مقاس	١٢٠												
سرير	كوين	مقاس	١٤٠	دهبي	ورمادى											
سرير	كيفنج	١٢٠	رمادى													
سرير	نوفال		٩٠	اسود												
												٢	سرير	كيفنج	١٠٠	اسود
												٢	سرير	كيفنج	١٠٠	اسود
سرير	٣	ادوار	ابيض	مقاس	٨٠	ابيض										
سرير	كيفنج	دورين	مقاس	٨٠	ابيض											
سرير	استيل	ازرق	مقاس	١٤٠												
سرير	كينج	١٢٠	بنفسجى													
كنبه	سرير	٤	حركه													
سرير	كيفنج	دورين	مقاس	٨٠	ابيض											
سرير	٣	ادوار	اسود	مقاس	٩٠											
تربيزه	قهوه	٢	رافع													
ترابيزه	قهوه	متحركه														
سرير	منطبق	اسود	حديد	ومعدن												
سرير	اسبانى		١٤٠	اسود	وبيج											
تربيزه	قهوه	مرتفعه	برف	سحاب												
	٢.	سرير	فورجينا	ابيض	مقاس	١٢٠										
	٢.	سرير	فورجينا	ابيض	مقاس	١٢٠										
			٢.	سرير	اسبانى	ابيض	١٢٠									
			٢.	سرير	اسبانى	ابيض	١٢٠									
ترابيزه	قهوه	علويه	جديده													
سرير	كيفنج	دورين	مقاس	١٢٠	رمادى											
كنبه	سرير	٤	حركه													
سرير	نوفال	١٠٠	رمادى													
كنبه	سرير	٤	حركه													
سرير	نوفال	مقاس	٨٠	ابيض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#VALUE!																
																</t>
  </si>
  <si>
    <t xml:space="preserve">حاتم العيسوي </t>
  </si>
  <si>
    <t>سرير منطبق اسود حديد وقماش</t>
  </si>
  <si>
    <t xml:space="preserve">رنا </t>
  </si>
  <si>
    <t>عبير نور الدين</t>
  </si>
  <si>
    <t>ثلاثه ادوار</t>
  </si>
  <si>
    <t xml:space="preserve">سرير ٣ ادورا اسود مقاس ١٠٠ </t>
  </si>
  <si>
    <t xml:space="preserve">اسراء ابو العنين </t>
  </si>
  <si>
    <t>سرير اسبانى اسود مقاس ١٢٠</t>
  </si>
  <si>
    <t>وائل صادق</t>
  </si>
  <si>
    <t xml:space="preserve">كوين </t>
  </si>
  <si>
    <t>رمادى</t>
  </si>
  <si>
    <t xml:space="preserve">سرير كوين مقاس ١٤٠ دهبي ورمادى </t>
  </si>
  <si>
    <t xml:space="preserve">حسن مغرب </t>
  </si>
  <si>
    <t xml:space="preserve">سرير كيفنج ١٢٠ رمادى </t>
  </si>
  <si>
    <t xml:space="preserve">على السيد </t>
  </si>
  <si>
    <t xml:space="preserve">سرير نوفال  ٩٠ اسود </t>
  </si>
  <si>
    <t xml:space="preserve">هشام بسيونى </t>
  </si>
  <si>
    <t xml:space="preserve">            ٢ سرير كيفنج ١٠٠ اسود </t>
  </si>
  <si>
    <t xml:space="preserve">سرير ٣ ادوار ابيض مقاس ٨٠ ابيض </t>
  </si>
  <si>
    <t xml:space="preserve">ساره وجيه </t>
  </si>
  <si>
    <t xml:space="preserve">سرير كيفنج دورين مقاس ٨٠ ابيض </t>
  </si>
  <si>
    <t xml:space="preserve">مها </t>
  </si>
  <si>
    <t>سرير استيل ازرق مقاس ١٤٠</t>
  </si>
  <si>
    <t xml:space="preserve">بسام الشربينى </t>
  </si>
  <si>
    <t xml:space="preserve">سرير كينج ١٢٠ بنفسجى </t>
  </si>
  <si>
    <t xml:space="preserve">هبه عبد الفتاح </t>
  </si>
  <si>
    <t xml:space="preserve">كنبه سرير ٤ حركه </t>
  </si>
  <si>
    <t xml:space="preserve">اسراء ابراهيم </t>
  </si>
  <si>
    <t xml:space="preserve">طارق كمال </t>
  </si>
  <si>
    <t xml:space="preserve">سرير ٣ ادوار اسود مقاس ٩٠ </t>
  </si>
  <si>
    <t xml:space="preserve">ديفد بهجت </t>
  </si>
  <si>
    <t>تربيزه قهوه ٢ رافع</t>
  </si>
  <si>
    <t xml:space="preserve">اياد </t>
  </si>
  <si>
    <t>ميار خورشد</t>
  </si>
  <si>
    <t xml:space="preserve">سرير منطبق اسود حديد ومعدن </t>
  </si>
  <si>
    <t xml:space="preserve">عبد الله سيد </t>
  </si>
  <si>
    <t xml:space="preserve">سرير اسبانى  ١٤٠ اسود وبيج </t>
  </si>
  <si>
    <t xml:space="preserve">كينج سونا </t>
  </si>
  <si>
    <t xml:space="preserve">تربيزه قهوه مرتفعه برف سحاب </t>
  </si>
  <si>
    <t xml:space="preserve">احمد خالد </t>
  </si>
  <si>
    <t xml:space="preserve"> ٢. سرير فورجينا ابيض مقاس ١٢٠</t>
  </si>
  <si>
    <t>ساره</t>
  </si>
  <si>
    <t xml:space="preserve">   ٢. سرير اسبانى ابيض ١٢٠</t>
  </si>
  <si>
    <t xml:space="preserve">احمد ايمن </t>
  </si>
  <si>
    <t xml:space="preserve">مصطفي غنيم </t>
  </si>
  <si>
    <t xml:space="preserve">سرير كيفنج دورين مقاس ١٢٠ رمادى </t>
  </si>
  <si>
    <t>حسام عبدون</t>
  </si>
  <si>
    <t xml:space="preserve">رامى </t>
  </si>
  <si>
    <t xml:space="preserve">سرير نوفال ١٠٠ رمادى </t>
  </si>
  <si>
    <t>رحاب</t>
  </si>
  <si>
    <t xml:space="preserve">فؤاد المنسي </t>
  </si>
  <si>
    <t xml:space="preserve">سرير نوفال مقاس ٨٠ ابيض </t>
  </si>
  <si>
    <t>mohannad</t>
  </si>
  <si>
    <t>Mohamed Ayman</t>
  </si>
  <si>
    <t>اسامه</t>
  </si>
  <si>
    <t>ولاء بدوى</t>
  </si>
  <si>
    <t>عبد الرحمن يسري</t>
  </si>
  <si>
    <t>الحج محمد السويس</t>
  </si>
  <si>
    <t>فانتستيك</t>
  </si>
  <si>
    <t xml:space="preserve">الحج سيد </t>
  </si>
  <si>
    <t>بيج</t>
  </si>
  <si>
    <t>رصاصي مشجر</t>
  </si>
  <si>
    <t>عمرو الأسود</t>
  </si>
  <si>
    <t xml:space="preserve">بترولى </t>
  </si>
  <si>
    <t>keira</t>
  </si>
  <si>
    <t xml:space="preserve">نوفال </t>
  </si>
  <si>
    <t>tarek</t>
  </si>
  <si>
    <t>reem</t>
  </si>
  <si>
    <t>هشام سامى</t>
  </si>
  <si>
    <t xml:space="preserve">منزلى </t>
  </si>
  <si>
    <t>بلحه</t>
  </si>
  <si>
    <t>خشب بنى فاتح</t>
  </si>
  <si>
    <t>فاطمه محمد</t>
  </si>
  <si>
    <t>بولا هومزمارت</t>
  </si>
  <si>
    <t xml:space="preserve">محمد شكرى </t>
  </si>
  <si>
    <t>ارينا</t>
  </si>
  <si>
    <t>بترولى</t>
  </si>
  <si>
    <t>حماده</t>
  </si>
  <si>
    <t>صفاء عبد الباقي</t>
  </si>
  <si>
    <t xml:space="preserve">كينج </t>
  </si>
  <si>
    <t xml:space="preserve">سرير </t>
  </si>
  <si>
    <t xml:space="preserve">دورين </t>
  </si>
  <si>
    <t xml:space="preserve">رندا العامرى </t>
  </si>
  <si>
    <t xml:space="preserve">كيمت </t>
  </si>
  <si>
    <t xml:space="preserve">كيفنج </t>
  </si>
  <si>
    <t xml:space="preserve">فردى </t>
  </si>
  <si>
    <t>امريكى</t>
  </si>
  <si>
    <t>محمد حمدى</t>
  </si>
  <si>
    <t xml:space="preserve">بافلى هانى </t>
  </si>
  <si>
    <t xml:space="preserve">اسبانى </t>
  </si>
  <si>
    <t>t1</t>
  </si>
  <si>
    <t>رنا ميلاد</t>
  </si>
  <si>
    <t>محمد ناجى</t>
  </si>
  <si>
    <t>ابيض في بنى غامق</t>
  </si>
  <si>
    <t>احمد عبد الستار</t>
  </si>
  <si>
    <t xml:space="preserve">نور </t>
  </si>
  <si>
    <t>بنى غامق</t>
  </si>
  <si>
    <t>نور</t>
  </si>
  <si>
    <t xml:space="preserve">هومزمارت </t>
  </si>
  <si>
    <t xml:space="preserve">بنى غامق </t>
  </si>
  <si>
    <t>تامر</t>
  </si>
  <si>
    <t xml:space="preserve">بيج </t>
  </si>
  <si>
    <t>هناء اسامه</t>
  </si>
  <si>
    <t xml:space="preserve">محمد عادل </t>
  </si>
  <si>
    <t>مريم عنان</t>
  </si>
  <si>
    <t xml:space="preserve">هبه عطيه </t>
  </si>
  <si>
    <t>حمدى ذكرى</t>
  </si>
  <si>
    <t>روك ١٠</t>
  </si>
  <si>
    <t>اللون المعدن2</t>
  </si>
  <si>
    <t>Count of كفاءة التسليم</t>
  </si>
  <si>
    <t>تأخير Total</t>
  </si>
  <si>
    <t>مسؤلية تأخير الشحن</t>
  </si>
  <si>
    <t>(blank)</t>
  </si>
  <si>
    <t>فشل التسليم Total</t>
  </si>
  <si>
    <t>مرتجعات</t>
  </si>
  <si>
    <t>Distinct Count of اللون المعدن</t>
  </si>
  <si>
    <t>عدد الالوان</t>
  </si>
  <si>
    <t>-</t>
  </si>
  <si>
    <t>- Total</t>
  </si>
  <si>
    <t>مندوبنا</t>
  </si>
  <si>
    <t>الالوان الاكثر مبيعا</t>
  </si>
  <si>
    <t>أخري</t>
  </si>
  <si>
    <t xml:space="preserve">شحن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</si>
</sst>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quot;$&quot;#,##0.00"/>
  </numFmts>
  <fonts count="8" x14ac:knownFonts="1">
    <font>
      <sz val="11"/>
      <color theme="1"/>
      <name val="Calibri"/>
      <family val="2"/>
      <scheme val="minor"/>
    </font>
    <font>
      <sz val="11"/>
      <name val="Calibri"/>
      <family val="2"/>
      <scheme val="minor"/>
    </font>
    <font>
      <sz val="16"/>
      <color theme="1"/>
      <name val="Calibri"/>
      <family val="2"/>
      <scheme val="minor"/>
    </font>
    <font>
      <sz val="11"/>
      <color rgb="FF002060"/>
      <name val="Calibri"/>
      <family val="2"/>
      <scheme val="minor"/>
    </font>
    <font>
      <b/>
      <sz val="12"/>
      <color rgb="FF000000"/>
      <name val="Calibri"/>
      <family val="2"/>
      <scheme val="minor"/>
    </font>
    <font>
      <sz val="11"/>
      <color rgb="FF000000"/>
      <name val="Calibri"/>
      <family val="2"/>
      <scheme val="minor"/>
    </font>
    <font>
      <sz val="11"/>
      <color theme="1"/>
      <name val="Calibri"/>
      <family val="2"/>
      <scheme val="minor"/>
    </font>
    <font>
      <sz val="11"/>
      <color rgb="FF000000"/>
      <name val="Calibri"/>
      <family val="2"/>
    </font>
  </fonts>
  <fills count="9">
    <fill>
      <patternFill patternType="none"/>
    </fill>
    <fill>
      <patternFill patternType="gray125"/>
    </fill>
    <fill>
      <patternFill patternType="solid">
        <fgColor theme="0"/>
        <bgColor indexed="64"/>
      </patternFill>
    </fill>
    <fill>
      <patternFill patternType="solid">
        <fgColor rgb="FFC0000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9"/>
        <bgColor indexed="64"/>
      </patternFill>
    </fill>
    <fill>
      <patternFill patternType="solid">
        <fgColor rgb="FFFFFF00"/>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s>
  <cellStyleXfs count="2">
    <xf numFmtId="0" fontId="0" fillId="0" borderId="0"/>
    <xf numFmtId="44" fontId="6" fillId="0" borderId="0" applyFont="0" applyFill="0" applyBorder="0" applyAlignment="0" applyProtection="0"/>
  </cellStyleXfs>
  <cellXfs count="86">
    <xf numFmtId="0" fontId="0" fillId="0" borderId="0" xfId="0"/>
    <xf numFmtId="0" fontId="0" fillId="0" borderId="0" xfId="0" applyAlignment="1">
      <alignment horizontal="right" vertical="center"/>
    </xf>
    <xf numFmtId="0" fontId="0" fillId="0" borderId="1" xfId="0" applyBorder="1" applyAlignment="1">
      <alignment horizontal="right" vertical="center"/>
    </xf>
    <xf numFmtId="2" fontId="0" fillId="0" borderId="1" xfId="0" applyNumberFormat="1" applyBorder="1" applyAlignment="1">
      <alignment horizontal="right" vertical="center"/>
    </xf>
    <xf numFmtId="2" fontId="0" fillId="0" borderId="0" xfId="0" applyNumberFormat="1" applyAlignment="1">
      <alignment horizontal="right" vertical="center"/>
    </xf>
    <xf numFmtId="0" fontId="0" fillId="2" borderId="2" xfId="0" applyFill="1" applyBorder="1" applyAlignment="1">
      <alignment horizontal="right" vertical="center"/>
    </xf>
    <xf numFmtId="0" fontId="0" fillId="3" borderId="1" xfId="0" applyFill="1" applyBorder="1" applyAlignment="1">
      <alignment horizontal="right" vertical="center"/>
    </xf>
    <xf numFmtId="0" fontId="0" fillId="3" borderId="1" xfId="0" applyFill="1" applyBorder="1" applyAlignment="1">
      <alignment horizontal="center" vertical="center"/>
    </xf>
    <xf numFmtId="2" fontId="0" fillId="3" borderId="1" xfId="0" applyNumberFormat="1" applyFill="1" applyBorder="1" applyAlignment="1">
      <alignment horizontal="right" vertical="center"/>
    </xf>
    <xf numFmtId="0" fontId="0" fillId="4" borderId="1" xfId="0" applyFill="1" applyBorder="1" applyAlignment="1">
      <alignment horizontal="right" vertical="center"/>
    </xf>
    <xf numFmtId="0" fontId="0" fillId="4" borderId="1" xfId="0" applyFill="1" applyBorder="1" applyAlignment="1">
      <alignment horizontal="center" vertical="center"/>
    </xf>
    <xf numFmtId="2" fontId="0" fillId="4" borderId="1" xfId="0" applyNumberFormat="1" applyFill="1" applyBorder="1" applyAlignment="1">
      <alignment horizontal="right" vertical="center"/>
    </xf>
    <xf numFmtId="0" fontId="0" fillId="3" borderId="2" xfId="0" applyFill="1" applyBorder="1" applyAlignment="1">
      <alignment horizontal="right" vertical="center"/>
    </xf>
    <xf numFmtId="2" fontId="0" fillId="3" borderId="1" xfId="0" applyNumberFormat="1" applyFill="1" applyBorder="1" applyAlignment="1">
      <alignment horizontal="center" vertical="center"/>
    </xf>
    <xf numFmtId="0" fontId="0" fillId="5" borderId="2" xfId="0" applyFill="1" applyBorder="1" applyAlignment="1">
      <alignment horizontal="right" vertical="center"/>
    </xf>
    <xf numFmtId="0" fontId="0" fillId="6" borderId="3" xfId="0" applyFill="1" applyBorder="1" applyAlignment="1">
      <alignment horizontal="right" vertical="center"/>
    </xf>
    <xf numFmtId="0" fontId="0" fillId="6" borderId="1" xfId="0" applyFill="1" applyBorder="1" applyAlignment="1">
      <alignment horizontal="right" vertical="center"/>
    </xf>
    <xf numFmtId="2" fontId="0" fillId="6" borderId="3" xfId="0" applyNumberFormat="1" applyFill="1" applyBorder="1" applyAlignment="1">
      <alignment horizontal="right" vertical="center"/>
    </xf>
    <xf numFmtId="2" fontId="0" fillId="6" borderId="1" xfId="0" applyNumberFormat="1" applyFill="1" applyBorder="1" applyAlignment="1">
      <alignment horizontal="right" vertical="center"/>
    </xf>
    <xf numFmtId="0" fontId="0" fillId="6" borderId="1" xfId="0" applyFill="1" applyBorder="1" applyAlignment="1">
      <alignment horizontal="center" vertical="center"/>
    </xf>
    <xf numFmtId="0" fontId="0" fillId="6" borderId="0" xfId="0" applyFill="1" applyAlignment="1">
      <alignment horizontal="right" vertical="center"/>
    </xf>
    <xf numFmtId="0" fontId="0" fillId="6" borderId="2" xfId="0" applyFill="1" applyBorder="1" applyAlignment="1">
      <alignment horizontal="right" vertical="center"/>
    </xf>
    <xf numFmtId="2" fontId="0" fillId="6" borderId="1" xfId="0" applyNumberFormat="1" applyFill="1" applyBorder="1" applyAlignment="1">
      <alignment horizontal="center" vertical="center"/>
    </xf>
    <xf numFmtId="0" fontId="1" fillId="3" borderId="1" xfId="0" applyFont="1" applyFill="1" applyBorder="1" applyAlignment="1">
      <alignment horizontal="center" vertical="center"/>
    </xf>
    <xf numFmtId="0" fontId="0" fillId="4" borderId="2" xfId="0" applyFill="1" applyBorder="1" applyAlignment="1">
      <alignment horizontal="right" vertical="center"/>
    </xf>
    <xf numFmtId="2" fontId="0" fillId="4" borderId="1" xfId="0" applyNumberFormat="1" applyFill="1" applyBorder="1" applyAlignment="1">
      <alignment horizontal="center" vertical="center"/>
    </xf>
    <xf numFmtId="0" fontId="1" fillId="6" borderId="1" xfId="0" applyFont="1" applyFill="1" applyBorder="1" applyAlignment="1">
      <alignment horizontal="center" vertical="center"/>
    </xf>
    <xf numFmtId="0" fontId="1" fillId="6" borderId="2" xfId="0" applyFont="1" applyFill="1" applyBorder="1" applyAlignment="1">
      <alignment horizontal="right" vertical="center"/>
    </xf>
    <xf numFmtId="2" fontId="1" fillId="6" borderId="1" xfId="0" applyNumberFormat="1" applyFont="1" applyFill="1" applyBorder="1" applyAlignment="1">
      <alignment horizontal="center" vertical="center"/>
    </xf>
    <xf numFmtId="2"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right" vertical="center"/>
    </xf>
    <xf numFmtId="2" fontId="1" fillId="3" borderId="1" xfId="0" applyNumberFormat="1" applyFont="1" applyFill="1" applyBorder="1" applyAlignment="1">
      <alignment horizontal="center" vertical="center"/>
    </xf>
    <xf numFmtId="0" fontId="0" fillId="0" borderId="0" xfId="0" applyAlignment="1">
      <alignment horizontal="right" vertical="center" wrapText="1"/>
    </xf>
    <xf numFmtId="0" fontId="1" fillId="6" borderId="1" xfId="0" applyFont="1" applyFill="1" applyBorder="1" applyAlignment="1">
      <alignment horizontal="right" vertical="center"/>
    </xf>
    <xf numFmtId="0" fontId="1" fillId="4" borderId="1" xfId="0" applyFont="1" applyFill="1" applyBorder="1" applyAlignment="1">
      <alignment horizontal="right" vertical="center"/>
    </xf>
    <xf numFmtId="0" fontId="1" fillId="3" borderId="1" xfId="0" applyFont="1" applyFill="1" applyBorder="1" applyAlignment="1">
      <alignment horizontal="right" vertical="center"/>
    </xf>
    <xf numFmtId="3" fontId="0" fillId="6" borderId="3" xfId="0" applyNumberFormat="1" applyFill="1" applyBorder="1" applyAlignment="1">
      <alignment horizontal="right" vertical="center"/>
    </xf>
    <xf numFmtId="3" fontId="0" fillId="6" borderId="1" xfId="0" applyNumberFormat="1" applyFill="1" applyBorder="1" applyAlignment="1">
      <alignment horizontal="right" vertical="center"/>
    </xf>
    <xf numFmtId="3" fontId="0" fillId="4" borderId="1" xfId="0" applyNumberFormat="1" applyFill="1" applyBorder="1" applyAlignment="1">
      <alignment horizontal="right" vertical="center"/>
    </xf>
    <xf numFmtId="3" fontId="0" fillId="3" borderId="1" xfId="0" applyNumberFormat="1" applyFill="1" applyBorder="1" applyAlignment="1">
      <alignment horizontal="right" vertical="center"/>
    </xf>
    <xf numFmtId="3" fontId="0" fillId="4" borderId="1" xfId="0" applyNumberFormat="1" applyFill="1" applyBorder="1" applyAlignment="1">
      <alignment horizontal="center" vertical="center"/>
    </xf>
    <xf numFmtId="3" fontId="0" fillId="0" borderId="1" xfId="0" applyNumberFormat="1" applyBorder="1" applyAlignment="1">
      <alignment horizontal="right" vertical="center"/>
    </xf>
    <xf numFmtId="3" fontId="0" fillId="0" borderId="0" xfId="0" applyNumberFormat="1" applyAlignment="1">
      <alignment horizontal="right" vertical="center"/>
    </xf>
    <xf numFmtId="3" fontId="1" fillId="6" borderId="1" xfId="0" applyNumberFormat="1" applyFont="1" applyFill="1" applyBorder="1" applyAlignment="1">
      <alignment horizontal="right" vertical="center"/>
    </xf>
    <xf numFmtId="3" fontId="1" fillId="4" borderId="1" xfId="0" applyNumberFormat="1" applyFont="1" applyFill="1" applyBorder="1" applyAlignment="1">
      <alignment horizontal="right" vertical="center"/>
    </xf>
    <xf numFmtId="3" fontId="2" fillId="6" borderId="0" xfId="0" applyNumberFormat="1" applyFont="1" applyFill="1" applyAlignment="1">
      <alignment horizontal="right"/>
    </xf>
    <xf numFmtId="3" fontId="1" fillId="3" borderId="1" xfId="0" applyNumberFormat="1" applyFont="1" applyFill="1" applyBorder="1" applyAlignment="1">
      <alignment horizontal="center" vertical="center"/>
    </xf>
    <xf numFmtId="0" fontId="0" fillId="0" borderId="0" xfId="0" pivotButton="1"/>
    <xf numFmtId="1" fontId="0" fillId="0" borderId="0" xfId="0" applyNumberFormat="1"/>
    <xf numFmtId="0" fontId="0" fillId="7" borderId="0" xfId="0" applyFill="1"/>
    <xf numFmtId="0" fontId="3" fillId="7" borderId="0" xfId="0" applyFont="1" applyFill="1"/>
    <xf numFmtId="0" fontId="0" fillId="6" borderId="4" xfId="0" applyFill="1" applyBorder="1" applyAlignment="1">
      <alignment horizontal="right" vertical="center"/>
    </xf>
    <xf numFmtId="0" fontId="0" fillId="3" borderId="2" xfId="0" applyFill="1" applyBorder="1" applyAlignment="1">
      <alignment horizontal="center" vertical="center"/>
    </xf>
    <xf numFmtId="0" fontId="0" fillId="4" borderId="2" xfId="0" applyFill="1" applyBorder="1" applyAlignment="1">
      <alignment horizontal="center" vertical="center"/>
    </xf>
    <xf numFmtId="0" fontId="0" fillId="6" borderId="2" xfId="0" applyFill="1" applyBorder="1" applyAlignment="1">
      <alignment horizontal="center" vertical="center"/>
    </xf>
    <xf numFmtId="0" fontId="1" fillId="3" borderId="2" xfId="0" applyFont="1" applyFill="1" applyBorder="1" applyAlignment="1">
      <alignment horizontal="center" vertical="center"/>
    </xf>
    <xf numFmtId="0" fontId="1" fillId="6" borderId="2" xfId="0" applyFont="1" applyFill="1" applyBorder="1" applyAlignment="1">
      <alignment horizontal="center" vertical="center"/>
    </xf>
    <xf numFmtId="0" fontId="1" fillId="4" borderId="2" xfId="0" applyFont="1" applyFill="1" applyBorder="1" applyAlignment="1">
      <alignment horizontal="center" vertical="center"/>
    </xf>
    <xf numFmtId="0" fontId="0" fillId="0" borderId="2" xfId="0" applyBorder="1" applyAlignment="1">
      <alignment horizontal="right" vertical="center"/>
    </xf>
    <xf numFmtId="0" fontId="0" fillId="6" borderId="6" xfId="0" applyFill="1" applyBorder="1" applyAlignment="1">
      <alignment horizontal="right" vertical="center"/>
    </xf>
    <xf numFmtId="0" fontId="0" fillId="3" borderId="5" xfId="0" applyFill="1" applyBorder="1" applyAlignment="1">
      <alignment horizontal="right" vertical="center"/>
    </xf>
    <xf numFmtId="0" fontId="0" fillId="6" borderId="7" xfId="0" applyFill="1" applyBorder="1" applyAlignment="1">
      <alignment horizontal="right" vertical="center"/>
    </xf>
    <xf numFmtId="0" fontId="0" fillId="6" borderId="8" xfId="0" applyFill="1" applyBorder="1" applyAlignment="1">
      <alignment horizontal="right" vertical="center"/>
    </xf>
    <xf numFmtId="3" fontId="0" fillId="6" borderId="8" xfId="0" applyNumberFormat="1" applyFill="1" applyBorder="1" applyAlignment="1">
      <alignment horizontal="right" vertical="center"/>
    </xf>
    <xf numFmtId="2" fontId="0" fillId="6" borderId="8" xfId="0" applyNumberFormat="1" applyFill="1" applyBorder="1" applyAlignment="1">
      <alignment horizontal="right" vertical="center"/>
    </xf>
    <xf numFmtId="0" fontId="0" fillId="6" borderId="9" xfId="0" applyFill="1" applyBorder="1" applyAlignment="1">
      <alignment horizontal="right" vertical="center"/>
    </xf>
    <xf numFmtId="0" fontId="0" fillId="6" borderId="10" xfId="0" applyFill="1" applyBorder="1" applyAlignment="1">
      <alignment horizontal="right" vertical="center"/>
    </xf>
    <xf numFmtId="0" fontId="4" fillId="2" borderId="4"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3" xfId="0" applyFont="1" applyFill="1" applyBorder="1" applyAlignment="1">
      <alignment horizontal="right" vertical="center"/>
    </xf>
    <xf numFmtId="0" fontId="4" fillId="2" borderId="4" xfId="0" applyFont="1" applyFill="1" applyBorder="1" applyAlignment="1">
      <alignment horizontal="right" vertical="center"/>
    </xf>
    <xf numFmtId="3" fontId="4" fillId="2" borderId="3" xfId="0" applyNumberFormat="1" applyFont="1" applyFill="1" applyBorder="1" applyAlignment="1">
      <alignment horizontal="right" vertical="center"/>
    </xf>
    <xf numFmtId="2" fontId="4" fillId="2" borderId="3" xfId="0" applyNumberFormat="1" applyFont="1" applyFill="1" applyBorder="1" applyAlignment="1">
      <alignment horizontal="center" vertical="center"/>
    </xf>
    <xf numFmtId="0" fontId="4" fillId="2" borderId="6" xfId="0" applyFont="1" applyFill="1" applyBorder="1" applyAlignment="1">
      <alignment horizontal="center" vertical="center"/>
    </xf>
    <xf numFmtId="0" fontId="5" fillId="0" borderId="0" xfId="0" applyFont="1" applyAlignment="1">
      <alignment horizontal="right" vertical="center"/>
    </xf>
    <xf numFmtId="3" fontId="0" fillId="0" borderId="0" xfId="0" applyNumberFormat="1"/>
    <xf numFmtId="3" fontId="0" fillId="7" borderId="0" xfId="0" applyNumberFormat="1" applyFill="1"/>
    <xf numFmtId="9" fontId="0" fillId="0" borderId="0" xfId="0" applyNumberFormat="1"/>
    <xf numFmtId="0" fontId="0" fillId="8" borderId="0" xfId="0" applyFill="1"/>
    <xf numFmtId="164" fontId="0" fillId="8" borderId="0" xfId="0" applyNumberFormat="1" applyFill="1"/>
    <xf numFmtId="3" fontId="0" fillId="0" borderId="0" xfId="1" applyNumberFormat="1" applyFont="1"/>
    <xf numFmtId="10" fontId="0" fillId="0" borderId="0" xfId="0" applyNumberFormat="1"/>
    <xf numFmtId="0" fontId="0" fillId="2" borderId="0" xfId="0" applyFill="1"/>
    <xf numFmtId="3" fontId="0" fillId="2" borderId="0" xfId="0" applyNumberFormat="1" applyFill="1"/>
    <xf numFmtId="0" fontId="0" fillId="0" borderId="0" xfId="0" applyNumberFormat="1"/>
  </cellXfs>
  <cellStyles count="2">
    <cellStyle name="Currency" xfId="1" builtinId="4"/>
    <cellStyle name="Normal" xfId="0" builtinId="0"/>
  </cellStyles>
  <dxfs count="498">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3" formatCode="#,##0"/>
    </dxf>
    <dxf>
      <numFmt numFmtId="1" formatCode="0"/>
    </dxf>
    <dxf>
      <numFmt numFmtId="3" formatCode="#,##0"/>
    </dxf>
    <dxf>
      <numFmt numFmtId="3" formatCode="#,##0"/>
    </dxf>
    <dxf>
      <numFmt numFmtId="1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3" formatCode="#,##0"/>
    </dxf>
    <dxf>
      <numFmt numFmtId="1" formatCode="0"/>
    </dxf>
    <dxf>
      <numFmt numFmtId="3" formatCode="#,##0"/>
    </dxf>
    <dxf>
      <numFmt numFmtId="3" formatCode="#,##0"/>
    </dxf>
    <dxf>
      <numFmt numFmtId="1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3" formatCode="#,##0"/>
    </dxf>
    <dxf>
      <numFmt numFmtId="1" formatCode="0"/>
    </dxf>
    <dxf>
      <numFmt numFmtId="3" formatCode="#,##0"/>
    </dxf>
    <dxf>
      <numFmt numFmtId="3" formatCode="#,##0"/>
    </dxf>
    <dxf>
      <numFmt numFmtId="1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1" formatCode="0"/>
    </dxf>
    <dxf>
      <numFmt numFmtId="3" formatCode="#,##0"/>
    </dxf>
    <dxf>
      <numFmt numFmtId="3" formatCode="#,##0"/>
    </dxf>
    <dxf>
      <numFmt numFmtId="14" formatCode="0.00%"/>
    </dxf>
    <dxf>
      <numFmt numFmtId="165" formatCode="0.0%"/>
    </dxf>
    <dxf>
      <numFmt numFmtId="13" formatCode="0%"/>
    </dxf>
    <dxf>
      <numFmt numFmtId="13" formatCode="0%"/>
    </dxf>
    <dxf>
      <numFmt numFmtId="1" formatCode="0"/>
    </dxf>
    <dxf>
      <numFmt numFmtId="3" formatCode="#,##0"/>
    </dxf>
    <dxf>
      <numFmt numFmtId="3" formatCode="#,##0"/>
    </dxf>
    <dxf>
      <numFmt numFmtId="3" formatCode="#,##0"/>
    </dxf>
    <dxf>
      <numFmt numFmtId="1" formatCode="0"/>
    </dxf>
    <dxf>
      <numFmt numFmtId="1"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3" formatCode="#,##0"/>
    </dxf>
    <dxf>
      <numFmt numFmtId="1" formatCode="0"/>
    </dxf>
    <dxf>
      <numFmt numFmtId="3" formatCode="#,##0"/>
    </dxf>
    <dxf>
      <numFmt numFmtId="3" formatCode="#,##0"/>
    </dxf>
    <dxf>
      <numFmt numFmtId="1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fill>
        <patternFill>
          <bgColor theme="0"/>
        </patternFill>
      </fill>
    </dxf>
    <dxf>
      <fill>
        <patternFill>
          <bgColor theme="0"/>
        </patternFill>
      </fill>
    </dxf>
    <dxf>
      <numFmt numFmtId="3" formatCode="#,##0"/>
    </dxf>
    <dxf>
      <numFmt numFmtId="3" formatCode="#,##0"/>
    </dxf>
    <dxf>
      <numFmt numFmtId="3" formatCode="#,##0"/>
    </dxf>
    <dxf>
      <numFmt numFmtId="1" formatCode="0"/>
    </dxf>
    <dxf>
      <numFmt numFmtId="1" formatCode="0"/>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font>
        <b/>
        <color theme="1"/>
      </font>
      <border>
        <bottom style="thin">
          <color theme="7"/>
        </bottom>
        <vertical/>
        <horizontal/>
      </border>
    </dxf>
    <dxf>
      <font>
        <color theme="1"/>
      </font>
      <border>
        <left style="thin">
          <color theme="7"/>
        </left>
        <right style="thin">
          <color theme="7"/>
        </right>
        <top style="thin">
          <color theme="7"/>
        </top>
        <bottom style="thin">
          <color theme="7"/>
        </bottom>
        <vertical/>
        <horizontal/>
      </border>
    </dxf>
    <dxf>
      <numFmt numFmtId="1" formatCode="0"/>
    </dxf>
    <dxf>
      <numFmt numFmtId="3" formatCode="#,##0"/>
    </dxf>
    <dxf>
      <numFmt numFmtId="3" formatCode="#,##0"/>
    </dxf>
    <dxf>
      <numFmt numFmtId="13" formatCode="0%"/>
    </dxf>
    <dxf>
      <numFmt numFmtId="1" formatCode="0"/>
    </dxf>
    <dxf>
      <numFmt numFmtId="3" formatCode="#,##0"/>
    </dxf>
    <dxf>
      <numFmt numFmtId="3" formatCode="#,##0"/>
    </dxf>
    <dxf>
      <numFmt numFmtId="1" formatCode="0"/>
    </dxf>
    <dxf>
      <numFmt numFmtId="3" formatCode="#,##0"/>
    </dxf>
    <dxf>
      <numFmt numFmtId="3" formatCode="#,##0"/>
    </dxf>
    <dxf>
      <numFmt numFmtId="3" formatCode="#,##0"/>
    </dxf>
    <dxf>
      <numFmt numFmtId="1" formatCode="0"/>
    </dxf>
    <dxf>
      <numFmt numFmtId="1" formatCode="0"/>
    </dxf>
    <dxf>
      <numFmt numFmtId="1" formatCode="0"/>
    </dxf>
    <dxf>
      <numFmt numFmtId="3" formatCode="#,##0"/>
    </dxf>
    <dxf>
      <numFmt numFmtId="3" formatCode="#,##0"/>
    </dxf>
    <dxf>
      <fill>
        <patternFill>
          <bgColor theme="0"/>
        </patternFill>
      </fill>
    </dxf>
    <dxf>
      <fill>
        <patternFill>
          <bgColor theme="0"/>
        </patternFill>
      </fill>
    </dxf>
    <dxf>
      <numFmt numFmtId="1" formatCode="0"/>
    </dxf>
    <dxf>
      <numFmt numFmtId="1" formatCode="0"/>
    </dxf>
    <dxf>
      <numFmt numFmtId="3" formatCode="#,##0"/>
    </dxf>
    <dxf>
      <numFmt numFmtId="3" formatCode="#,##0"/>
    </dxf>
    <dxf>
      <numFmt numFmtId="1" formatCode="0"/>
    </dxf>
    <dxf>
      <numFmt numFmtId="1" formatCode="0"/>
    </dxf>
    <dxf>
      <numFmt numFmtId="3" formatCode="#,##0"/>
    </dxf>
    <dxf>
      <numFmt numFmtId="3" formatCode="#,##0"/>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bottom style="thin">
          <color indexed="64"/>
        </bottom>
        <vertical/>
        <horizontal/>
      </border>
    </dxf>
    <dxf>
      <fill>
        <patternFill patternType="solid">
          <fgColor indexed="64"/>
          <bgColor theme="9"/>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numFmt numFmtId="2" formatCode="0.00"/>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numFmt numFmtId="3" formatCode="#,##0"/>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style="thin">
          <color indexed="64"/>
        </left>
        <right style="thin">
          <color indexed="64"/>
        </right>
        <top/>
        <bottom style="thin">
          <color indexed="64"/>
        </bottom>
        <vertical/>
        <horizontal/>
      </border>
    </dxf>
    <dxf>
      <fill>
        <patternFill patternType="solid">
          <fgColor indexed="64"/>
          <bgColor theme="9"/>
        </patternFill>
      </fill>
      <alignment horizontal="right" vertical="center" textRotation="0" wrapText="0" indent="0" justifyLastLine="0" shrinkToFit="0" readingOrder="0"/>
      <border diagonalUp="0" diagonalDown="0" outline="0">
        <left/>
        <right style="thin">
          <color indexed="64"/>
        </right>
        <top/>
        <bottom/>
      </border>
    </dxf>
    <dxf>
      <fill>
        <patternFill patternType="solid">
          <fgColor indexed="64"/>
          <bgColor theme="9"/>
        </patternFill>
      </fill>
      <alignment horizontal="right"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rgb="FF00000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bottom/>
      </border>
    </dxf>
    <dxf>
      <numFmt numFmtId="13" formatCode="0%"/>
    </dxf>
    <dxf>
      <numFmt numFmtId="13" formatCode="0%"/>
    </dxf>
    <dxf>
      <numFmt numFmtId="165" formatCode="0.0%"/>
    </dxf>
    <dxf>
      <numFmt numFmtId="14" formatCode="0.00%"/>
    </dxf>
    <dxf>
      <numFmt numFmtId="3" formatCode="#,##0"/>
    </dxf>
    <dxf>
      <numFmt numFmtId="3" formatCode="#,##0"/>
    </dxf>
    <dxf>
      <numFmt numFmtId="1" formatCode="0"/>
    </dxf>
    <dxf>
      <font>
        <b/>
        <color theme="1"/>
      </font>
      <border>
        <bottom style="thin">
          <color theme="4"/>
        </bottom>
        <vertical/>
        <horizontal/>
      </border>
    </dxf>
    <dxf>
      <font>
        <b/>
        <i val="0"/>
        <sz val="12"/>
        <color theme="0"/>
        <name val="Sanskrit Text"/>
        <family val="1"/>
        <scheme val="none"/>
      </font>
      <fill>
        <patternFill patternType="mediumGray">
          <fgColor rgb="FF182540"/>
          <bgColor rgb="FF182540"/>
        </patternFill>
      </fill>
      <border diagonalUp="0" diagonalDown="0">
        <left/>
        <right/>
        <top/>
        <bottom/>
        <vertical/>
        <horizontal/>
      </border>
    </dxf>
    <dxf>
      <border diagonalUp="0" diagonalDown="0">
        <left/>
        <right/>
        <top/>
        <bottom/>
        <vertical/>
        <horizontal/>
      </border>
    </dxf>
  </dxfs>
  <tableStyles count="5" defaultTableStyle="TableStyleMedium2" defaultPivotStyle="PivotStyleLight16">
    <tableStyle name="Invisible" pivot="0" table="0" count="0" xr9:uid="{AA73528B-8D85-432A-9172-AA70B5E8C669}"/>
    <tableStyle name="mySlicerFormate" pivot="0" table="0" count="10" xr9:uid="{42921FD8-56E8-4336-900D-80651E0755F4}">
      <tableStyleElement type="wholeTable" dxfId="422"/>
      <tableStyleElement type="headerRow" dxfId="421"/>
    </tableStyle>
    <tableStyle name="Slicer Style 1" pivot="0" table="0" count="1" xr9:uid="{1B7D26E9-16ED-4EAE-8F20-39CB7B9E8CD7}">
      <tableStyleElement type="wholeTable" dxfId="497"/>
    </tableStyle>
    <tableStyle name="Slicer Style 2" pivot="0" table="0" count="2" xr9:uid="{03C95847-2959-414C-B84F-151F3DD2562F}"/>
    <tableStyle name="SlicerStyleLight1 2" pivot="0" table="0" count="10" xr9:uid="{7BB1FD9A-E585-451B-B776-C4D478B45A33}">
      <tableStyleElement type="wholeTable" dxfId="496"/>
      <tableStyleElement type="headerRow" dxfId="495"/>
    </tableStyle>
  </tableStyles>
  <colors>
    <mruColors>
      <color rgb="FF182540"/>
      <color rgb="FFF20530"/>
      <color rgb="FF326446"/>
    </mruColors>
  </colors>
  <extLst>
    <ext xmlns:x14="http://schemas.microsoft.com/office/spreadsheetml/2009/9/main" uri="{46F421CA-312F-682f-3DD2-61675219B42D}">
      <x14:dxfs count="3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rgb="FFF20530"/>
              <bgColor rgb="FFFF0000"/>
            </patternFill>
          </fill>
          <border>
            <left style="thin">
              <color rgb="FF182540"/>
            </left>
            <right style="thin">
              <color rgb="FF182540"/>
            </right>
            <top style="thin">
              <color rgb="FF182540"/>
            </top>
            <bottom style="thin">
              <color rgb="FF182540"/>
            </bottom>
            <vertical/>
            <horizontal/>
          </border>
        </dxf>
        <dxf>
          <font>
            <color theme="0"/>
          </font>
          <fill>
            <patternFill patternType="solid">
              <fgColor rgb="FF182540"/>
              <bgColor rgb="FF002060"/>
            </patternFill>
          </fill>
          <border>
            <left style="thin">
              <color rgb="FF182540"/>
            </left>
            <right style="thin">
              <color rgb="FF182540"/>
            </right>
            <top style="thin">
              <color rgb="FF182540"/>
            </top>
            <bottom style="thin">
              <color rgb="FF182540"/>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rgb="FFF20530"/>
              <bgColor rgb="FFFF0000"/>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rgb="FF182540"/>
              <bgColor rgb="FF002060"/>
            </patternFill>
          </fill>
          <border>
            <left style="thin">
              <color rgb="FF182540"/>
            </left>
            <right style="thin">
              <color rgb="FF182540"/>
            </right>
            <top style="thin">
              <color rgb="FF182540"/>
            </top>
            <bottom style="thin">
              <color rgb="FF182540"/>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rgb="FFF20530"/>
              <bgColor rgb="FFFF0000"/>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rgb="FF182540"/>
              <bgColor rgb="FF002060"/>
            </patternFill>
          </fill>
          <border>
            <left style="thin">
              <color rgb="FF182540"/>
            </left>
            <right style="thin">
              <color rgb="FF182540"/>
            </right>
            <top style="thin">
              <color rgb="FF182540"/>
            </top>
            <bottom style="thin">
              <color rgb="FF182540"/>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border>
            <left style="thin">
              <color theme="0" tint="-0.24994659260841701"/>
            </left>
            <right style="thin">
              <color theme="0" tint="-0.24994659260841701"/>
            </right>
            <top style="thin">
              <color theme="0" tint="-0.24994659260841701"/>
            </top>
            <bottom style="thin">
              <color theme="0" tint="-0.24994659260841701"/>
            </bottom>
          </border>
        </dxf>
        <dxf>
          <font>
            <b/>
            <i val="0"/>
            <color theme="0"/>
          </font>
          <fill>
            <gradientFill degree="90">
              <stop position="0">
                <color theme="0"/>
              </stop>
              <stop position="1">
                <color rgb="FF182540"/>
              </stop>
            </gradientFill>
          </fill>
          <border>
            <left style="thin">
              <color theme="0" tint="-0.24994659260841701"/>
            </left>
            <right style="thin">
              <color theme="0" tint="-0.24994659260841701"/>
            </right>
            <top style="thin">
              <color theme="0" tint="-0.24994659260841701"/>
            </top>
            <bottom style="thin">
              <color theme="0" tint="-0.24994659260841701"/>
            </bottom>
          </border>
        </dxf>
      </x14:dxfs>
    </ext>
    <ext xmlns:x14="http://schemas.microsoft.com/office/spreadsheetml/2009/9/main" uri="{EB79DEF2-80B8-43e5-95BD-54CBDDF9020C}">
      <x14:slicerStyles defaultSlicerStyle="SlicerStyleLight1">
        <x14:slicerStyle name="mySlicerFormat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 name="Slicer Style 2">
          <x14:slicerStyleElements>
            <x14:slicerStyleElement type="selectedItemWithData" dxfId="33"/>
            <x14:slicerStyleElement type="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2.xml"/><Relationship Id="rId15" Type="http://schemas.openxmlformats.org/officeDocument/2006/relationships/powerPivotData" Target="model/item.data"/><Relationship Id="rId10" Type="http://schemas.microsoft.com/office/2007/relationships/slicerCache" Target="slicerCaches/slicerCache5.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Table!المنتجات</c:name>
    <c:fmtId val="10"/>
  </c:pivotSource>
  <c:chart>
    <c:title>
      <c:tx>
        <c:rich>
          <a:bodyPr rot="0" spcFirstLastPara="1" vertOverflow="ellipsis" vert="horz" wrap="square" anchor="ctr" anchorCtr="1"/>
          <a:lstStyle/>
          <a:p>
            <a:pPr>
              <a:defRPr sz="1400" b="0" i="0" u="none" strike="noStrike" kern="1200" spc="0" baseline="0">
                <a:solidFill>
                  <a:srgbClr val="FFC000"/>
                </a:solidFill>
                <a:latin typeface="Sanskrit Text" panose="02020503050405020304" pitchFamily="18" charset="0"/>
                <a:ea typeface="+mn-ea"/>
                <a:cs typeface="Sanskrit Text" panose="02020503050405020304" pitchFamily="18" charset="0"/>
              </a:defRPr>
            </a:pPr>
            <a:r>
              <a:rPr lang="ar-EG" b="1">
                <a:solidFill>
                  <a:schemeClr val="bg1"/>
                </a:solidFill>
                <a:latin typeface="Sanskrit Text" panose="02020503050405020304" pitchFamily="18" charset="0"/>
              </a:rPr>
              <a:t>المنتجـــــــــــــــــات</a:t>
            </a:r>
            <a:endParaRPr lang="en-US" b="1">
              <a:solidFill>
                <a:schemeClr val="bg1"/>
              </a:solidFill>
              <a:latin typeface="Sanskrit Text" panose="02020503050405020304" pitchFamily="18" charset="0"/>
              <a:cs typeface="Sanskrit Text" panose="02020503050405020304" pitchFamily="18" charset="0"/>
            </a:endParaRPr>
          </a:p>
        </c:rich>
      </c:tx>
      <c:layout>
        <c:manualLayout>
          <c:xMode val="edge"/>
          <c:yMode val="edge"/>
          <c:x val="0.31231877345255116"/>
          <c:y val="4.790419161676647E-2"/>
        </c:manualLayout>
      </c:layout>
      <c:overlay val="0"/>
      <c:spPr>
        <a:noFill/>
        <a:ln>
          <a:noFill/>
        </a:ln>
        <a:effectLst/>
      </c:spPr>
    </c:title>
    <c:autoTitleDeleted val="0"/>
    <c:pivotFmts>
      <c:pivotFmt>
        <c:idx val="0"/>
        <c:spPr>
          <a:solidFill>
            <a:srgbClr val="637CEF"/>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637CEF"/>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637CEF"/>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F20530"/>
          </a:solidFill>
          <a:ln>
            <a:noFill/>
          </a:ln>
          <a:effectLst/>
        </c:spPr>
        <c:marker>
          <c:symbol val="none"/>
        </c:marker>
        <c:dLbl>
          <c:idx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510656436487641E-2"/>
          <c:y val="0.14910320773661681"/>
          <c:w val="0.92497868712702469"/>
          <c:h val="0.73373566559213654"/>
        </c:manualLayout>
      </c:layout>
      <c:barChart>
        <c:barDir val="bar"/>
        <c:grouping val="clustered"/>
        <c:varyColors val="0"/>
        <c:ser>
          <c:idx val="0"/>
          <c:order val="0"/>
          <c:tx>
            <c:strRef>
              <c:f>'Pivot Table'!$T$2</c:f>
              <c:strCache>
                <c:ptCount val="1"/>
                <c:pt idx="0">
                  <c:v>Total</c:v>
                </c:pt>
              </c:strCache>
            </c:strRef>
          </c:tx>
          <c:spPr>
            <a:solidFill>
              <a:srgbClr val="F20530"/>
            </a:solidFill>
            <a:ln>
              <a:noFill/>
            </a:ln>
            <a:effectLst/>
          </c:spPr>
          <c:invertIfNegative val="0"/>
          <c:dLbls>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wrap="square" lIns="38100" tIns="19050" rIns="38100" bIns="19050" anchor="ctr">
                <a:spAutoFit/>
              </a:bodyPr>
              <a:lstStyle/>
              <a:p>
                <a:pPr>
                  <a:defRPr>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Table'!$S$3:$S$9</c:f>
              <c:strCache>
                <c:ptCount val="6"/>
                <c:pt idx="0">
                  <c:v>سرير</c:v>
                </c:pt>
                <c:pt idx="1">
                  <c:v>كنبه</c:v>
                </c:pt>
                <c:pt idx="2">
                  <c:v>تربيزه</c:v>
                </c:pt>
                <c:pt idx="3">
                  <c:v>ركنة</c:v>
                </c:pt>
                <c:pt idx="4">
                  <c:v>شيزلونج</c:v>
                </c:pt>
                <c:pt idx="5">
                  <c:v>كرسى</c:v>
                </c:pt>
              </c:strCache>
            </c:strRef>
          </c:cat>
          <c:val>
            <c:numRef>
              <c:f>'Pivot Table'!$T$3:$T$9</c:f>
              <c:numCache>
                <c:formatCode>#,##0</c:formatCode>
                <c:ptCount val="6"/>
                <c:pt idx="0">
                  <c:v>762152.31544000003</c:v>
                </c:pt>
                <c:pt idx="1">
                  <c:v>251234</c:v>
                </c:pt>
                <c:pt idx="2">
                  <c:v>150806</c:v>
                </c:pt>
                <c:pt idx="3">
                  <c:v>22000</c:v>
                </c:pt>
                <c:pt idx="4">
                  <c:v>10396</c:v>
                </c:pt>
                <c:pt idx="5">
                  <c:v>9300</c:v>
                </c:pt>
              </c:numCache>
            </c:numRef>
          </c:val>
          <c:extLst>
            <c:ext xmlns:c16="http://schemas.microsoft.com/office/drawing/2014/chart" uri="{C3380CC4-5D6E-409C-BE32-E72D297353CC}">
              <c16:uniqueId val="{00000002-54CB-4F3B-B2F8-82D6955C12B5}"/>
            </c:ext>
          </c:extLst>
        </c:ser>
        <c:dLbls>
          <c:dLblPos val="outEnd"/>
          <c:showLegendKey val="0"/>
          <c:showVal val="1"/>
          <c:showCatName val="0"/>
          <c:showSerName val="0"/>
          <c:showPercent val="0"/>
          <c:showBubbleSize val="0"/>
        </c:dLbls>
        <c:gapWidth val="219"/>
        <c:axId val="20715015"/>
        <c:axId val="1368465927"/>
      </c:barChart>
      <c:catAx>
        <c:axId val="2071501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bg1"/>
                </a:solidFill>
                <a:latin typeface="Sanskrit Text" panose="02020503050405020304" pitchFamily="18" charset="0"/>
                <a:ea typeface="+mn-ea"/>
                <a:cs typeface="Sanskrit Text" panose="02020503050405020304" pitchFamily="18" charset="0"/>
              </a:defRPr>
            </a:pPr>
            <a:endParaRPr lang="en-US"/>
          </a:p>
        </c:txPr>
        <c:crossAx val="1368465927"/>
        <c:crosses val="autoZero"/>
        <c:auto val="1"/>
        <c:lblAlgn val="ctr"/>
        <c:lblOffset val="100"/>
        <c:noMultiLvlLbl val="0"/>
      </c:catAx>
      <c:valAx>
        <c:axId val="1368465927"/>
        <c:scaling>
          <c:orientation val="minMax"/>
        </c:scaling>
        <c:delete val="1"/>
        <c:axPos val="t"/>
        <c:numFmt formatCode="#,##0" sourceLinked="1"/>
        <c:majorTickMark val="none"/>
        <c:minorTickMark val="none"/>
        <c:tickLblPos val="nextTo"/>
        <c:crossAx val="20715015"/>
        <c:crosses val="autoZero"/>
        <c:crossBetween val="between"/>
      </c:valAx>
      <c:spPr>
        <a:solidFill>
          <a:srgbClr val="182540"/>
        </a:solidFill>
      </c:spPr>
    </c:plotArea>
    <c:plotVisOnly val="1"/>
    <c:dispBlanksAs val="gap"/>
    <c:showDLblsOverMax val="0"/>
    <c:extLst/>
  </c:chart>
  <c:spPr>
    <a:solidFill>
      <a:srgbClr val="182540"/>
    </a:solidFill>
    <a:ln>
      <a:solidFill>
        <a:schemeClr val="tx1">
          <a:lumMod val="15000"/>
          <a:lumOff val="85000"/>
        </a:schemeClr>
      </a:solid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Table!منصة البيع</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b="1">
                <a:solidFill>
                  <a:schemeClr val="bg1"/>
                </a:solidFill>
              </a:rPr>
              <a:t>منصــــة</a:t>
            </a:r>
            <a:r>
              <a:rPr lang="ar-EG" b="1" baseline="0">
                <a:solidFill>
                  <a:schemeClr val="bg1"/>
                </a:solidFill>
              </a:rPr>
              <a:t> البيــــــــع</a:t>
            </a:r>
            <a:endParaRPr lang="en-US" b="1">
              <a:solidFill>
                <a:schemeClr val="bg1"/>
              </a:solidFill>
            </a:endParaRPr>
          </a:p>
        </c:rich>
      </c:tx>
      <c:overlay val="0"/>
      <c:spPr>
        <a:solidFill>
          <a:srgbClr val="182540"/>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539922641248795"/>
          <c:y val="0.17107183030692591"/>
          <c:w val="0.65165478821076217"/>
          <c:h val="0.72572964093774006"/>
        </c:manualLayout>
      </c:layout>
      <c:barChart>
        <c:barDir val="bar"/>
        <c:grouping val="clustered"/>
        <c:varyColors val="0"/>
        <c:ser>
          <c:idx val="0"/>
          <c:order val="0"/>
          <c:tx>
            <c:strRef>
              <c:f>'Pivot Table'!$P$3</c:f>
              <c:strCache>
                <c:ptCount val="1"/>
                <c:pt idx="0">
                  <c:v>Total</c:v>
                </c:pt>
              </c:strCache>
            </c:strRef>
          </c:tx>
          <c:spPr>
            <a:solidFill>
              <a:srgbClr val="FF0000"/>
            </a:solidFill>
            <a:ln>
              <a:noFill/>
            </a:ln>
            <a:effectLst/>
          </c:spPr>
          <c:invertIfNegative val="0"/>
          <c:dLbls>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Table'!$O$4:$O$11</c:f>
              <c:strCache>
                <c:ptCount val="7"/>
                <c:pt idx="0">
                  <c:v>كيمت</c:v>
                </c:pt>
                <c:pt idx="1">
                  <c:v>منزلى</c:v>
                </c:pt>
                <c:pt idx="2">
                  <c:v>فيس بوك</c:v>
                </c:pt>
                <c:pt idx="3">
                  <c:v>تاكى</c:v>
                </c:pt>
                <c:pt idx="4">
                  <c:v>اوسكار ريتن</c:v>
                </c:pt>
                <c:pt idx="5">
                  <c:v>شيك هومز</c:v>
                </c:pt>
                <c:pt idx="6">
                  <c:v>هومزمارت</c:v>
                </c:pt>
              </c:strCache>
            </c:strRef>
          </c:cat>
          <c:val>
            <c:numRef>
              <c:f>'Pivot Table'!$P$4:$P$11</c:f>
              <c:numCache>
                <c:formatCode>General</c:formatCode>
                <c:ptCount val="7"/>
                <c:pt idx="0">
                  <c:v>1</c:v>
                </c:pt>
                <c:pt idx="1">
                  <c:v>2</c:v>
                </c:pt>
                <c:pt idx="2">
                  <c:v>3</c:v>
                </c:pt>
                <c:pt idx="3">
                  <c:v>8</c:v>
                </c:pt>
                <c:pt idx="4">
                  <c:v>10</c:v>
                </c:pt>
                <c:pt idx="5">
                  <c:v>17</c:v>
                </c:pt>
                <c:pt idx="6">
                  <c:v>75</c:v>
                </c:pt>
              </c:numCache>
            </c:numRef>
          </c:val>
          <c:extLst>
            <c:ext xmlns:c16="http://schemas.microsoft.com/office/drawing/2014/chart" uri="{C3380CC4-5D6E-409C-BE32-E72D297353CC}">
              <c16:uniqueId val="{00000000-4156-4D93-9B7F-718CF38F356F}"/>
            </c:ext>
          </c:extLst>
        </c:ser>
        <c:dLbls>
          <c:showLegendKey val="0"/>
          <c:showVal val="1"/>
          <c:showCatName val="0"/>
          <c:showSerName val="0"/>
          <c:showPercent val="0"/>
          <c:showBubbleSize val="0"/>
        </c:dLbls>
        <c:gapWidth val="150"/>
        <c:axId val="525316616"/>
        <c:axId val="525318664"/>
      </c:barChart>
      <c:catAx>
        <c:axId val="5253166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100" b="1" i="0" u="none" strike="noStrike" kern="1200" baseline="0">
                <a:solidFill>
                  <a:schemeClr val="bg1"/>
                </a:solidFill>
                <a:latin typeface="+mn-lt"/>
                <a:ea typeface="+mn-ea"/>
                <a:cs typeface="+mn-cs"/>
              </a:defRPr>
            </a:pPr>
            <a:endParaRPr lang="en-US"/>
          </a:p>
        </c:txPr>
        <c:crossAx val="525318664"/>
        <c:crosses val="autoZero"/>
        <c:auto val="1"/>
        <c:lblAlgn val="ctr"/>
        <c:lblOffset val="100"/>
        <c:noMultiLvlLbl val="0"/>
      </c:catAx>
      <c:valAx>
        <c:axId val="525318664"/>
        <c:scaling>
          <c:orientation val="minMax"/>
        </c:scaling>
        <c:delete val="1"/>
        <c:axPos val="b"/>
        <c:numFmt formatCode="General" sourceLinked="1"/>
        <c:majorTickMark val="out"/>
        <c:minorTickMark val="none"/>
        <c:tickLblPos val="nextTo"/>
        <c:crossAx val="525316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54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Table!الالوان</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b="1">
                <a:solidFill>
                  <a:schemeClr val="bg1"/>
                </a:solidFill>
                <a:latin typeface="Sanskrit Text" panose="02020503050405020304" pitchFamily="18" charset="0"/>
              </a:rPr>
              <a:t>الألــــــــــــــوان</a:t>
            </a:r>
            <a:r>
              <a:rPr lang="ar-EG" b="1" baseline="0">
                <a:solidFill>
                  <a:schemeClr val="bg1"/>
                </a:solidFill>
                <a:latin typeface="Sanskrit Text" panose="02020503050405020304" pitchFamily="18" charset="0"/>
              </a:rPr>
              <a:t> </a:t>
            </a:r>
            <a:endParaRPr lang="en-US" b="1">
              <a:solidFill>
                <a:schemeClr val="bg1"/>
              </a:solidFill>
              <a:latin typeface="Sanskrit Text" panose="02020503050405020304" pitchFamily="18" charset="0"/>
              <a:cs typeface="Sanskrit Text" panose="020205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160469524642751"/>
          <c:y val="0.16984251968503936"/>
          <c:w val="0.54654345290172057"/>
          <c:h val="0.78060793076541113"/>
        </c:manualLayout>
      </c:layout>
      <c:barChart>
        <c:barDir val="bar"/>
        <c:grouping val="clustered"/>
        <c:varyColors val="0"/>
        <c:ser>
          <c:idx val="0"/>
          <c:order val="0"/>
          <c:tx>
            <c:strRef>
              <c:f>'Pivot Table'!$X$2</c:f>
              <c:strCache>
                <c:ptCount val="1"/>
                <c:pt idx="0">
                  <c:v>Total</c:v>
                </c:pt>
              </c:strCache>
            </c:strRef>
          </c:tx>
          <c:spPr>
            <a:solidFill>
              <a:srgbClr val="FF0000"/>
            </a:solidFill>
            <a:ln>
              <a:noFill/>
            </a:ln>
            <a:effectLst/>
          </c:spPr>
          <c:invertIfNegative val="0"/>
          <c:dLbls>
            <c:spPr>
              <a:solidFill>
                <a:schemeClr val="bg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Table'!$W$3:$W$8</c:f>
              <c:strCache>
                <c:ptCount val="5"/>
                <c:pt idx="0">
                  <c:v>ازرق</c:v>
                </c:pt>
                <c:pt idx="1">
                  <c:v>رمادي</c:v>
                </c:pt>
                <c:pt idx="2">
                  <c:v>أخري</c:v>
                </c:pt>
                <c:pt idx="3">
                  <c:v>أبيض</c:v>
                </c:pt>
                <c:pt idx="4">
                  <c:v>أسود</c:v>
                </c:pt>
              </c:strCache>
            </c:strRef>
          </c:cat>
          <c:val>
            <c:numRef>
              <c:f>'Pivot Table'!$X$3:$X$8</c:f>
              <c:numCache>
                <c:formatCode>#,##0</c:formatCode>
                <c:ptCount val="5"/>
                <c:pt idx="0">
                  <c:v>3</c:v>
                </c:pt>
                <c:pt idx="1">
                  <c:v>8</c:v>
                </c:pt>
                <c:pt idx="2">
                  <c:v>12</c:v>
                </c:pt>
                <c:pt idx="3">
                  <c:v>15</c:v>
                </c:pt>
                <c:pt idx="4">
                  <c:v>78</c:v>
                </c:pt>
              </c:numCache>
            </c:numRef>
          </c:val>
          <c:extLst>
            <c:ext xmlns:c16="http://schemas.microsoft.com/office/drawing/2014/chart" uri="{C3380CC4-5D6E-409C-BE32-E72D297353CC}">
              <c16:uniqueId val="{00000000-9676-4DE6-9055-D2D962CB60FA}"/>
            </c:ext>
          </c:extLst>
        </c:ser>
        <c:dLbls>
          <c:dLblPos val="outEnd"/>
          <c:showLegendKey val="0"/>
          <c:showVal val="1"/>
          <c:showCatName val="0"/>
          <c:showSerName val="0"/>
          <c:showPercent val="0"/>
          <c:showBubbleSize val="0"/>
        </c:dLbls>
        <c:gapWidth val="150"/>
        <c:axId val="2010107456"/>
        <c:axId val="2010105536"/>
      </c:barChart>
      <c:catAx>
        <c:axId val="20101074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2010105536"/>
        <c:crosses val="autoZero"/>
        <c:auto val="1"/>
        <c:lblAlgn val="ctr"/>
        <c:lblOffset val="100"/>
        <c:noMultiLvlLbl val="0"/>
      </c:catAx>
      <c:valAx>
        <c:axId val="2010105536"/>
        <c:scaling>
          <c:orientation val="minMax"/>
        </c:scaling>
        <c:delete val="1"/>
        <c:axPos val="b"/>
        <c:numFmt formatCode="#,##0" sourceLinked="1"/>
        <c:majorTickMark val="none"/>
        <c:minorTickMark val="none"/>
        <c:tickLblPos val="nextTo"/>
        <c:crossAx val="2010107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54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Table!المحافظات</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ar-EG" b="1">
                <a:solidFill>
                  <a:schemeClr val="bg1"/>
                </a:solidFill>
                <a:latin typeface="Sanskrit Text" panose="02020503050405020304" pitchFamily="18" charset="0"/>
              </a:rPr>
              <a:t>المـــــــــــــــــــــــدن </a:t>
            </a:r>
            <a:endParaRPr lang="en-US" b="1">
              <a:solidFill>
                <a:schemeClr val="bg1"/>
              </a:solidFill>
              <a:latin typeface="Sanskrit Text" panose="02020503050405020304" pitchFamily="18" charset="0"/>
              <a:cs typeface="Sanskrit Text" panose="02020503050405020304" pitchFamily="18" charset="0"/>
            </a:endParaRPr>
          </a:p>
        </c:rich>
      </c:tx>
      <c:layout>
        <c:manualLayout>
          <c:xMode val="edge"/>
          <c:yMode val="edge"/>
          <c:x val="0.25991003649796302"/>
          <c:y val="3.16205533596837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637CE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00"/>
          </a:solidFill>
          <a:ln>
            <a:noFill/>
          </a:ln>
          <a:effectLst/>
        </c:spPr>
        <c:marker>
          <c:symbol val="none"/>
        </c:marker>
        <c:dLbl>
          <c:idx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385903924866929"/>
          <c:y val="0.1772312646222737"/>
          <c:w val="0.60447431361346382"/>
          <c:h val="0.77591037542032482"/>
        </c:manualLayout>
      </c:layout>
      <c:barChart>
        <c:barDir val="bar"/>
        <c:grouping val="clustered"/>
        <c:varyColors val="0"/>
        <c:ser>
          <c:idx val="0"/>
          <c:order val="0"/>
          <c:tx>
            <c:strRef>
              <c:f>'Pivot Table'!$AF$3</c:f>
              <c:strCache>
                <c:ptCount val="1"/>
                <c:pt idx="0">
                  <c:v>Total</c:v>
                </c:pt>
              </c:strCache>
            </c:strRef>
          </c:tx>
          <c:spPr>
            <a:solidFill>
              <a:srgbClr val="FF0000"/>
            </a:solidFill>
            <a:ln>
              <a:noFill/>
            </a:ln>
            <a:effectLst/>
          </c:spPr>
          <c:invertIfNegative val="0"/>
          <c:dLbls>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6350" cap="flat" cmpd="sng" algn="ctr">
                <a:solidFill>
                  <a:schemeClr val="accent3"/>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Table'!$AE$4:$AE$11</c:f>
              <c:strCache>
                <c:ptCount val="7"/>
                <c:pt idx="0">
                  <c:v>القاهرة</c:v>
                </c:pt>
                <c:pt idx="1">
                  <c:v>الجيزه</c:v>
                </c:pt>
                <c:pt idx="2">
                  <c:v>القليوبيه</c:v>
                </c:pt>
                <c:pt idx="3">
                  <c:v>السويس</c:v>
                </c:pt>
                <c:pt idx="4">
                  <c:v>الاسكندريه</c:v>
                </c:pt>
                <c:pt idx="5">
                  <c:v>البحر الأحمر</c:v>
                </c:pt>
                <c:pt idx="6">
                  <c:v>أسيوط</c:v>
                </c:pt>
              </c:strCache>
            </c:strRef>
          </c:cat>
          <c:val>
            <c:numRef>
              <c:f>'Pivot Table'!$AF$4:$AF$11</c:f>
              <c:numCache>
                <c:formatCode>#,##0</c:formatCode>
                <c:ptCount val="7"/>
                <c:pt idx="0">
                  <c:v>57</c:v>
                </c:pt>
                <c:pt idx="1">
                  <c:v>32</c:v>
                </c:pt>
                <c:pt idx="2">
                  <c:v>8</c:v>
                </c:pt>
                <c:pt idx="3">
                  <c:v>8</c:v>
                </c:pt>
                <c:pt idx="4">
                  <c:v>7</c:v>
                </c:pt>
                <c:pt idx="5">
                  <c:v>3</c:v>
                </c:pt>
                <c:pt idx="6">
                  <c:v>1</c:v>
                </c:pt>
              </c:numCache>
            </c:numRef>
          </c:val>
          <c:extLst>
            <c:ext xmlns:c16="http://schemas.microsoft.com/office/drawing/2014/chart" uri="{C3380CC4-5D6E-409C-BE32-E72D297353CC}">
              <c16:uniqueId val="{00000000-8DE6-4DC8-B1B5-A18CA03FA408}"/>
            </c:ext>
          </c:extLst>
        </c:ser>
        <c:dLbls>
          <c:showLegendKey val="0"/>
          <c:showVal val="0"/>
          <c:showCatName val="0"/>
          <c:showSerName val="0"/>
          <c:showPercent val="0"/>
          <c:showBubbleSize val="0"/>
        </c:dLbls>
        <c:gapWidth val="150"/>
        <c:axId val="1368507399"/>
        <c:axId val="1368509447"/>
      </c:barChart>
      <c:catAx>
        <c:axId val="136850739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Sanskrit Text" panose="02020503050405020304" pitchFamily="18" charset="0"/>
                <a:ea typeface="+mn-ea"/>
                <a:cs typeface="Sanskrit Text" panose="02020503050405020304" pitchFamily="18" charset="0"/>
              </a:defRPr>
            </a:pPr>
            <a:endParaRPr lang="en-US"/>
          </a:p>
        </c:txPr>
        <c:crossAx val="1368509447"/>
        <c:crosses val="autoZero"/>
        <c:auto val="1"/>
        <c:lblAlgn val="ctr"/>
        <c:lblOffset val="100"/>
        <c:noMultiLvlLbl val="0"/>
      </c:catAx>
      <c:valAx>
        <c:axId val="1368509447"/>
        <c:scaling>
          <c:orientation val="minMax"/>
        </c:scaling>
        <c:delete val="1"/>
        <c:axPos val="b"/>
        <c:numFmt formatCode="#,##0" sourceLinked="1"/>
        <c:majorTickMark val="none"/>
        <c:minorTickMark val="none"/>
        <c:tickLblPos val="nextTo"/>
        <c:crossAx val="1368507399"/>
        <c:crosses val="max"/>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54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Table!كفاءة التسليم</c:name>
    <c:fmtId val="8"/>
  </c:pivotSource>
  <c:chart>
    <c:title>
      <c:tx>
        <c:rich>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r>
              <a:rPr lang="ar-EG" sz="1400">
                <a:solidFill>
                  <a:schemeClr val="bg1"/>
                </a:solidFill>
              </a:rPr>
              <a:t>كفاءة التسليم</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rgbClr val="FF0000"/>
          </a:solidFill>
          <a:ln>
            <a:noFill/>
          </a:ln>
          <a:effectLst>
            <a:outerShdw blurRad="317500" algn="ctr" rotWithShape="0">
              <a:prstClr val="black">
                <a:alpha val="25000"/>
              </a:prstClr>
            </a:outerShdw>
          </a:effectLst>
        </c:spPr>
      </c:pivotFmt>
      <c:pivotFmt>
        <c:idx val="13"/>
        <c:spPr>
          <a:solidFill>
            <a:srgbClr val="FF0000"/>
          </a:solidFill>
          <a:ln>
            <a:noFill/>
          </a:ln>
          <a:effectLst>
            <a:outerShdw blurRad="317500" algn="ctr" rotWithShape="0">
              <a:prstClr val="black">
                <a:alpha val="25000"/>
              </a:prstClr>
            </a:outerShdw>
          </a:effectLst>
        </c:spPr>
      </c:pivotFmt>
      <c:pivotFmt>
        <c:idx val="14"/>
        <c:spPr>
          <a:solidFill>
            <a:srgbClr val="FF0000"/>
          </a:solidFill>
          <a:ln>
            <a:noFill/>
          </a:ln>
          <a:effectLst>
            <a:outerShdw blurRad="317500" algn="ctr" rotWithShape="0">
              <a:prstClr val="black">
                <a:alpha val="25000"/>
              </a:prstClr>
            </a:outerShdw>
          </a:effectLst>
        </c:spPr>
      </c:pivotFmt>
    </c:pivotFmts>
    <c:plotArea>
      <c:layout/>
      <c:barChart>
        <c:barDir val="bar"/>
        <c:grouping val="clustered"/>
        <c:varyColors val="0"/>
        <c:ser>
          <c:idx val="0"/>
          <c:order val="0"/>
          <c:tx>
            <c:strRef>
              <c:f>'Pivot Table'!$AB$2</c:f>
              <c:strCache>
                <c:ptCount val="1"/>
                <c:pt idx="0">
                  <c:v>Total</c:v>
                </c:pt>
              </c:strCache>
            </c:strRef>
          </c:tx>
          <c:spPr>
            <a:solidFill>
              <a:schemeClr val="accent2"/>
            </a:solidFill>
            <a:ln>
              <a:noFill/>
            </a:ln>
            <a:effectLst>
              <a:outerShdw blurRad="317500" algn="ctr" rotWithShape="0">
                <a:prstClr val="black">
                  <a:alpha val="25000"/>
                </a:prstClr>
              </a:outerShdw>
            </a:effectLst>
          </c:spPr>
          <c:invertIfNegative val="0"/>
          <c:dPt>
            <c:idx val="0"/>
            <c:invertIfNegative val="0"/>
            <c:bubble3D val="0"/>
            <c:spPr>
              <a:solidFill>
                <a:srgbClr val="FF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DC5-4EF5-86FC-0A135B2CBF51}"/>
              </c:ext>
            </c:extLst>
          </c:dPt>
          <c:dPt>
            <c:idx val="1"/>
            <c:invertIfNegative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DC5-4EF5-86FC-0A135B2CBF51}"/>
              </c:ext>
            </c:extLst>
          </c:dPt>
          <c:dPt>
            <c:idx val="2"/>
            <c:invertIfNegative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DC5-4EF5-86FC-0A135B2CBF5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 Table'!$AA$3:$AA$6</c:f>
              <c:strCache>
                <c:ptCount val="3"/>
                <c:pt idx="0">
                  <c:v>مرتجعات</c:v>
                </c:pt>
                <c:pt idx="1">
                  <c:v>في الموعد</c:v>
                </c:pt>
                <c:pt idx="2">
                  <c:v>تأخير</c:v>
                </c:pt>
              </c:strCache>
            </c:strRef>
          </c:cat>
          <c:val>
            <c:numRef>
              <c:f>'Pivot Table'!$AB$3:$AB$6</c:f>
              <c:numCache>
                <c:formatCode>0%</c:formatCode>
                <c:ptCount val="3"/>
                <c:pt idx="0">
                  <c:v>0.18965517241379309</c:v>
                </c:pt>
                <c:pt idx="1">
                  <c:v>0.41379310344827586</c:v>
                </c:pt>
                <c:pt idx="2">
                  <c:v>0.39655172413793105</c:v>
                </c:pt>
              </c:numCache>
            </c:numRef>
          </c:val>
          <c:extLst>
            <c:ext xmlns:c16="http://schemas.microsoft.com/office/drawing/2014/chart" uri="{C3380CC4-5D6E-409C-BE32-E72D297353CC}">
              <c16:uniqueId val="{0000000E-8DC5-4EF5-86FC-0A135B2CBF51}"/>
            </c:ext>
          </c:extLst>
        </c:ser>
        <c:dLbls>
          <c:dLblPos val="outEnd"/>
          <c:showLegendKey val="0"/>
          <c:showVal val="1"/>
          <c:showCatName val="0"/>
          <c:showSerName val="0"/>
          <c:showPercent val="0"/>
          <c:showBubbleSize val="0"/>
        </c:dLbls>
        <c:gapWidth val="100"/>
        <c:axId val="2087995663"/>
        <c:axId val="2087977423"/>
      </c:barChart>
      <c:valAx>
        <c:axId val="2087977423"/>
        <c:scaling>
          <c:orientation val="minMax"/>
        </c:scaling>
        <c:delete val="1"/>
        <c:axPos val="b"/>
        <c:numFmt formatCode="0%" sourceLinked="1"/>
        <c:majorTickMark val="out"/>
        <c:minorTickMark val="none"/>
        <c:tickLblPos val="nextTo"/>
        <c:crossAx val="2087995663"/>
        <c:crosses val="autoZero"/>
        <c:crossBetween val="between"/>
      </c:valAx>
      <c:catAx>
        <c:axId val="20879956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bg1"/>
                </a:solidFill>
                <a:latin typeface="Sanskrit Text" panose="02020503050405020304" pitchFamily="18" charset="0"/>
                <a:ea typeface="+mn-ea"/>
                <a:cs typeface="Sanskrit Text" panose="02020503050405020304" pitchFamily="18" charset="0"/>
              </a:defRPr>
            </a:pPr>
            <a:endParaRPr lang="en-US"/>
          </a:p>
        </c:txPr>
        <c:crossAx val="2087977423"/>
        <c:crosses val="autoZero"/>
        <c:auto val="1"/>
        <c:lblAlgn val="ctr"/>
        <c:lblOffset val="100"/>
        <c:noMultiLvlLbl val="0"/>
      </c:catAx>
      <c:spPr>
        <a:noFill/>
        <a:ln>
          <a:noFill/>
        </a:ln>
        <a:effectLst/>
      </c:spPr>
    </c:plotArea>
    <c:plotVisOnly val="1"/>
    <c:dispBlanksAs val="gap"/>
    <c:showDLblsOverMax val="0"/>
    <c:extLst/>
  </c:chart>
  <c:spPr>
    <a:solidFill>
      <a:srgbClr val="18254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Table!نوع العميل</c:name>
    <c:fmtId val="9"/>
  </c:pivotSource>
  <c:chart>
    <c:title>
      <c:tx>
        <c:rich>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r>
              <a:rPr lang="ar-EG" sz="1400">
                <a:solidFill>
                  <a:schemeClr val="bg1"/>
                </a:solidFill>
              </a:rPr>
              <a:t>نوع العميل</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pivotFmt>
      <c:pivotFmt>
        <c:idx val="14"/>
      </c:pivotFmt>
      <c:pivotFmt>
        <c:idx val="15"/>
        <c:spPr>
          <a:solidFill>
            <a:srgbClr val="FFC000"/>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rgbClr val="FF0000"/>
          </a:solidFill>
          <a:ln>
            <a:noFill/>
          </a:ln>
          <a:effectLst>
            <a:outerShdw blurRad="317500" algn="ctr" rotWithShape="0">
              <a:prstClr val="black">
                <a:alpha val="25000"/>
              </a:prstClr>
            </a:outerShdw>
          </a:effectLst>
        </c:spPr>
      </c:pivotFmt>
      <c:pivotFmt>
        <c:idx val="17"/>
        <c:spPr>
          <a:solidFill>
            <a:srgbClr val="FFC000"/>
          </a:solidFill>
          <a:ln>
            <a:noFill/>
          </a:ln>
          <a:effectLst>
            <a:outerShdw blurRad="317500" algn="ctr" rotWithShape="0">
              <a:prstClr val="black">
                <a:alpha val="25000"/>
              </a:prstClr>
            </a:outerShdw>
          </a:effectLst>
        </c:spPr>
        <c:dLbl>
          <c:idx val="0"/>
          <c:layout>
            <c:manualLayout>
              <c:x val="4.0816326530612242E-2"/>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Table'!$AJ$3</c:f>
              <c:strCache>
                <c:ptCount val="1"/>
                <c:pt idx="0">
                  <c:v>Total</c:v>
                </c:pt>
              </c:strCache>
            </c:strRef>
          </c:tx>
          <c:spPr>
            <a:solidFill>
              <a:srgbClr val="FFC000"/>
            </a:solidFill>
          </c:spPr>
          <c:dPt>
            <c:idx val="0"/>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5634-42D1-8B9D-CD8730E4E90E}"/>
              </c:ext>
            </c:extLst>
          </c:dPt>
          <c:dPt>
            <c:idx val="1"/>
            <c:bubble3D val="0"/>
            <c:spPr>
              <a:solidFill>
                <a:srgbClr val="FF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9-5634-42D1-8B9D-CD8730E4E90E}"/>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B-5634-42D1-8B9D-CD8730E4E90E}"/>
              </c:ext>
            </c:extLst>
          </c:dPt>
          <c:dLbls>
            <c:dLbl>
              <c:idx val="0"/>
              <c:layout>
                <c:manualLayout>
                  <c:x val="4.0816326530612242E-2"/>
                  <c:y val="0"/>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7-5634-42D1-8B9D-CD8730E4E90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Table'!$AI$4:$AI$6</c:f>
              <c:strCache>
                <c:ptCount val="2"/>
                <c:pt idx="0">
                  <c:v>شركات</c:v>
                </c:pt>
                <c:pt idx="1">
                  <c:v>أفراد</c:v>
                </c:pt>
              </c:strCache>
            </c:strRef>
          </c:cat>
          <c:val>
            <c:numRef>
              <c:f>'Pivot Table'!$AJ$4:$AJ$6</c:f>
              <c:numCache>
                <c:formatCode>#,##0</c:formatCode>
                <c:ptCount val="2"/>
                <c:pt idx="0">
                  <c:v>33</c:v>
                </c:pt>
                <c:pt idx="1">
                  <c:v>83</c:v>
                </c:pt>
              </c:numCache>
            </c:numRef>
          </c:val>
          <c:extLst>
            <c:ext xmlns:c16="http://schemas.microsoft.com/office/drawing/2014/chart" uri="{C3380CC4-5D6E-409C-BE32-E72D297353CC}">
              <c16:uniqueId val="{0000001C-5634-42D1-8B9D-CD8730E4E90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chart>
  <c:spPr>
    <a:solidFill>
      <a:srgbClr val="18254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[MISUO.xlsm]Pivot Table!مسؤلية تاخير الشحن</c:name>
    <c:fmtId val="34"/>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ar-EG" sz="1400">
                <a:solidFill>
                  <a:schemeClr val="bg1"/>
                </a:solidFill>
              </a:rPr>
              <a:t>مسؤولية التأخير </a:t>
            </a:r>
            <a:endParaRPr lang="en-US" sz="1400">
              <a:solidFill>
                <a:schemeClr val="bg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solidFill>
            <a:schemeClr val="bg1">
              <a:lumMod val="50000"/>
            </a:schemeClr>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C000"/>
          </a:solidFill>
          <a:ln>
            <a:noFill/>
          </a:ln>
          <a:effectLst>
            <a:outerShdw blurRad="317500" algn="ctr" rotWithShape="0">
              <a:prstClr val="black">
                <a:alpha val="25000"/>
              </a:prstClr>
            </a:outerShdw>
          </a:effectLst>
        </c:spPr>
      </c:pivotFmt>
      <c:pivotFmt>
        <c:idx val="9"/>
        <c:spPr>
          <a:solidFill>
            <a:srgbClr val="F20530"/>
          </a:solidFill>
          <a:ln>
            <a:noFill/>
          </a:ln>
          <a:effectLst>
            <a:outerShdw blurRad="317500" algn="ctr" rotWithShape="0">
              <a:prstClr val="black">
                <a:alpha val="25000"/>
              </a:prstClr>
            </a:outerShdw>
          </a:effectLst>
        </c:spPr>
      </c:pivotFmt>
      <c:pivotFmt>
        <c:idx val="10"/>
        <c:spPr>
          <a:solidFill>
            <a:srgbClr val="FF0000"/>
          </a:solidFill>
          <a:ln>
            <a:noFill/>
          </a:ln>
          <a:effectLst>
            <a:outerShdw blurRad="317500" algn="ctr" rotWithShape="0">
              <a:prstClr val="black">
                <a:alpha val="25000"/>
              </a:prstClr>
            </a:outerShdw>
          </a:effectLst>
        </c:spPr>
      </c:pivotFmt>
    </c:pivotFmts>
    <c:plotArea>
      <c:layout/>
      <c:pieChart>
        <c:varyColors val="1"/>
        <c:ser>
          <c:idx val="0"/>
          <c:order val="0"/>
          <c:tx>
            <c:strRef>
              <c:f>'Pivot Table'!$AP$4</c:f>
              <c:strCache>
                <c:ptCount val="1"/>
                <c:pt idx="0">
                  <c:v>Total</c:v>
                </c:pt>
              </c:strCache>
            </c:strRef>
          </c:tx>
          <c:spPr>
            <a:solidFill>
              <a:schemeClr val="bg1">
                <a:lumMod val="50000"/>
              </a:schemeClr>
            </a:solidFill>
          </c:spPr>
          <c:dPt>
            <c:idx val="0"/>
            <c:bubble3D val="0"/>
            <c:spPr>
              <a:solidFill>
                <a:srgbClr val="FF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022-4CD0-8779-B5DE2836E2A7}"/>
              </c:ext>
            </c:extLst>
          </c:dPt>
          <c:dPt>
            <c:idx val="1"/>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022-4CD0-8779-B5DE2836E2A7}"/>
              </c:ext>
            </c:extLst>
          </c:dPt>
          <c:dPt>
            <c:idx val="2"/>
            <c:bubble3D val="0"/>
            <c:spPr>
              <a:solidFill>
                <a:schemeClr val="bg1">
                  <a:lumMod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022-4CD0-8779-B5DE2836E2A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'Pivot Table'!$AN$5:$AO$8</c:f>
              <c:multiLvlStrCache>
                <c:ptCount val="2"/>
                <c:lvl>
                  <c:pt idx="0">
                    <c:v>مندوبنا</c:v>
                  </c:pt>
                  <c:pt idx="1">
                    <c:v>شحن </c:v>
                  </c:pt>
                </c:lvl>
                <c:lvl>
                  <c:pt idx="0">
                    <c:v>-</c:v>
                  </c:pt>
                </c:lvl>
              </c:multiLvlStrCache>
            </c:multiLvlStrRef>
          </c:cat>
          <c:val>
            <c:numRef>
              <c:f>'Pivot Table'!$AP$5:$AP$8</c:f>
              <c:numCache>
                <c:formatCode>0%</c:formatCode>
                <c:ptCount val="2"/>
                <c:pt idx="0">
                  <c:v>0.80434782608695654</c:v>
                </c:pt>
                <c:pt idx="1">
                  <c:v>0.19565217391304349</c:v>
                </c:pt>
              </c:numCache>
            </c:numRef>
          </c:val>
          <c:extLst>
            <c:ext xmlns:c16="http://schemas.microsoft.com/office/drawing/2014/chart" uri="{C3380CC4-5D6E-409C-BE32-E72D297353CC}">
              <c16:uniqueId val="{00000006-A022-4CD0-8779-B5DE2836E2A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2493785653125657"/>
          <c:y val="0.4366164229471316"/>
          <c:w val="0.42715792173632056"/>
          <c:h val="0.52857592800899889"/>
        </c:manualLayout>
      </c:layout>
      <c:overlay val="0"/>
      <c:spPr>
        <a:solidFill>
          <a:srgbClr val="182540"/>
        </a:solid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82540"/>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428626</xdr:colOff>
      <xdr:row>0</xdr:row>
      <xdr:rowOff>19050</xdr:rowOff>
    </xdr:from>
    <xdr:to>
      <xdr:col>18</xdr:col>
      <xdr:colOff>247650</xdr:colOff>
      <xdr:row>3</xdr:row>
      <xdr:rowOff>19050</xdr:rowOff>
    </xdr:to>
    <xdr:sp macro="" textlink="">
      <xdr:nvSpPr>
        <xdr:cNvPr id="3" name="Rectangle: Rounded Corners 2">
          <a:extLst>
            <a:ext uri="{FF2B5EF4-FFF2-40B4-BE49-F238E27FC236}">
              <a16:creationId xmlns:a16="http://schemas.microsoft.com/office/drawing/2014/main" id="{709AD713-47C8-4C05-B520-0464E44AFE41}"/>
            </a:ext>
          </a:extLst>
        </xdr:cNvPr>
        <xdr:cNvSpPr/>
      </xdr:nvSpPr>
      <xdr:spPr>
        <a:xfrm>
          <a:off x="1647826" y="19050"/>
          <a:ext cx="9572624" cy="571500"/>
        </a:xfrm>
        <a:prstGeom prst="roundRect">
          <a:avLst/>
        </a:prstGeom>
        <a:solidFill>
          <a:srgbClr val="18254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latin typeface="Sanskrit Text" panose="020B0502040204020203" pitchFamily="18" charset="0"/>
              <a:cs typeface="Sanskrit Text" panose="020B0502040204020203" pitchFamily="18" charset="0"/>
            </a:rPr>
            <a:t>MISUO</a:t>
          </a:r>
          <a:r>
            <a:rPr lang="en-US" sz="3600" baseline="0">
              <a:latin typeface="+mn-lt"/>
              <a:cs typeface="Sabon Next LT" panose="020B0502040204020203" pitchFamily="2" charset="0"/>
            </a:rPr>
            <a:t> Sales Dashboard</a:t>
          </a:r>
          <a:endParaRPr lang="en-US" sz="3600">
            <a:latin typeface="+mn-lt"/>
            <a:cs typeface="Sabon Next LT" panose="020B0502040204020203" pitchFamily="2" charset="0"/>
          </a:endParaRPr>
        </a:p>
      </xdr:txBody>
    </xdr:sp>
    <xdr:clientData/>
  </xdr:twoCellAnchor>
  <xdr:twoCellAnchor>
    <xdr:from>
      <xdr:col>13</xdr:col>
      <xdr:colOff>349566</xdr:colOff>
      <xdr:row>6</xdr:row>
      <xdr:rowOff>152401</xdr:rowOff>
    </xdr:from>
    <xdr:to>
      <xdr:col>18</xdr:col>
      <xdr:colOff>263843</xdr:colOff>
      <xdr:row>21</xdr:row>
      <xdr:rowOff>95251</xdr:rowOff>
    </xdr:to>
    <xdr:graphicFrame macro="">
      <xdr:nvGraphicFramePr>
        <xdr:cNvPr id="15" name="Chart 14">
          <a:extLst>
            <a:ext uri="{FF2B5EF4-FFF2-40B4-BE49-F238E27FC236}">
              <a16:creationId xmlns:a16="http://schemas.microsoft.com/office/drawing/2014/main" id="{47A3F663-4786-4C4E-9AEB-EC6638E83932}"/>
            </a:ext>
            <a:ext uri="{147F2762-F138-4A5C-976F-8EAC2B608ADB}">
              <a16:predDERef xmlns:a16="http://schemas.microsoft.com/office/drawing/2014/main" pred="{13C696AC-D44F-041D-622A-611AA5CE7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426719</xdr:colOff>
      <xdr:row>6</xdr:row>
      <xdr:rowOff>152401</xdr:rowOff>
    </xdr:from>
    <xdr:to>
      <xdr:col>7</xdr:col>
      <xdr:colOff>293369</xdr:colOff>
      <xdr:row>21</xdr:row>
      <xdr:rowOff>95251</xdr:rowOff>
    </xdr:to>
    <xdr:graphicFrame macro="">
      <xdr:nvGraphicFramePr>
        <xdr:cNvPr id="18" name="Chart 17">
          <a:extLst>
            <a:ext uri="{FF2B5EF4-FFF2-40B4-BE49-F238E27FC236}">
              <a16:creationId xmlns:a16="http://schemas.microsoft.com/office/drawing/2014/main" id="{89ED7D0C-BFD3-477A-92E0-0D542D52F657}"/>
            </a:ext>
            <a:ext uri="{147F2762-F138-4A5C-976F-8EAC2B608ADB}">
              <a16:predDERef xmlns:a16="http://schemas.microsoft.com/office/drawing/2014/main" pred="{9A2691BF-BC1A-9A34-915C-3C4BCDA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362901</xdr:colOff>
      <xdr:row>6</xdr:row>
      <xdr:rowOff>152401</xdr:rowOff>
    </xdr:from>
    <xdr:to>
      <xdr:col>9</xdr:col>
      <xdr:colOff>515301</xdr:colOff>
      <xdr:row>21</xdr:row>
      <xdr:rowOff>114301</xdr:rowOff>
    </xdr:to>
    <xdr:graphicFrame macro="">
      <xdr:nvGraphicFramePr>
        <xdr:cNvPr id="24" name="Chart 23">
          <a:extLst>
            <a:ext uri="{FF2B5EF4-FFF2-40B4-BE49-F238E27FC236}">
              <a16:creationId xmlns:a16="http://schemas.microsoft.com/office/drawing/2014/main" id="{E4703058-95ED-484B-8768-743DB23A25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584833</xdr:colOff>
      <xdr:row>6</xdr:row>
      <xdr:rowOff>152401</xdr:rowOff>
    </xdr:from>
    <xdr:to>
      <xdr:col>13</xdr:col>
      <xdr:colOff>280034</xdr:colOff>
      <xdr:row>21</xdr:row>
      <xdr:rowOff>114300</xdr:rowOff>
    </xdr:to>
    <xdr:graphicFrame macro="">
      <xdr:nvGraphicFramePr>
        <xdr:cNvPr id="26" name="Chart 25">
          <a:extLst>
            <a:ext uri="{FF2B5EF4-FFF2-40B4-BE49-F238E27FC236}">
              <a16:creationId xmlns:a16="http://schemas.microsoft.com/office/drawing/2014/main" id="{FA64F0D7-0EC7-46D6-80DB-7292EB8318BE}"/>
            </a:ext>
            <a:ext uri="{147F2762-F138-4A5C-976F-8EAC2B608ADB}">
              <a16:predDERef xmlns:a16="http://schemas.microsoft.com/office/drawing/2014/main" pred="{17508BC8-8C2D-5604-8AB4-EAB7FB2489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23813</xdr:colOff>
      <xdr:row>7</xdr:row>
      <xdr:rowOff>28575</xdr:rowOff>
    </xdr:from>
    <xdr:to>
      <xdr:col>2</xdr:col>
      <xdr:colOff>357187</xdr:colOff>
      <xdr:row>14</xdr:row>
      <xdr:rowOff>171449</xdr:rowOff>
    </xdr:to>
    <xdr:graphicFrame macro="">
      <xdr:nvGraphicFramePr>
        <xdr:cNvPr id="27" name="Chart 26">
          <a:extLst>
            <a:ext uri="{FF2B5EF4-FFF2-40B4-BE49-F238E27FC236}">
              <a16:creationId xmlns:a16="http://schemas.microsoft.com/office/drawing/2014/main" id="{70F59505-8C0D-49BA-8CA8-A831323D16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23813</xdr:colOff>
      <xdr:row>0</xdr:row>
      <xdr:rowOff>47625</xdr:rowOff>
    </xdr:from>
    <xdr:to>
      <xdr:col>2</xdr:col>
      <xdr:colOff>366713</xdr:colOff>
      <xdr:row>6</xdr:row>
      <xdr:rowOff>190499</xdr:rowOff>
    </xdr:to>
    <xdr:graphicFrame macro="">
      <xdr:nvGraphicFramePr>
        <xdr:cNvPr id="29" name="Chart 28">
          <a:extLst>
            <a:ext uri="{FF2B5EF4-FFF2-40B4-BE49-F238E27FC236}">
              <a16:creationId xmlns:a16="http://schemas.microsoft.com/office/drawing/2014/main" id="{F05194A8-E83B-4926-B5B8-A49A3D6C3238}"/>
            </a:ext>
            <a:ext uri="{147F2762-F138-4A5C-976F-8EAC2B608ADB}">
              <a16:predDERef xmlns:a16="http://schemas.microsoft.com/office/drawing/2014/main" pred="{BDEE66FB-2B80-EE02-0050-D36938FAB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23813</xdr:colOff>
      <xdr:row>15</xdr:row>
      <xdr:rowOff>9525</xdr:rowOff>
    </xdr:from>
    <xdr:to>
      <xdr:col>2</xdr:col>
      <xdr:colOff>342901</xdr:colOff>
      <xdr:row>21</xdr:row>
      <xdr:rowOff>114300</xdr:rowOff>
    </xdr:to>
    <xdr:graphicFrame macro="">
      <xdr:nvGraphicFramePr>
        <xdr:cNvPr id="10" name="Chart 9">
          <a:extLst>
            <a:ext uri="{FF2B5EF4-FFF2-40B4-BE49-F238E27FC236}">
              <a16:creationId xmlns:a16="http://schemas.microsoft.com/office/drawing/2014/main" id="{7EFD0674-A17D-4217-864D-7BD2DF6D74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18</xdr:col>
      <xdr:colOff>352424</xdr:colOff>
      <xdr:row>3</xdr:row>
      <xdr:rowOff>114299</xdr:rowOff>
    </xdr:from>
    <xdr:to>
      <xdr:col>20</xdr:col>
      <xdr:colOff>321944</xdr:colOff>
      <xdr:row>7</xdr:row>
      <xdr:rowOff>83819</xdr:rowOff>
    </xdr:to>
    <mc:AlternateContent xmlns:mc="http://schemas.openxmlformats.org/markup-compatibility/2006">
      <mc:Choice xmlns:a14="http://schemas.microsoft.com/office/drawing/2010/main" Requires="a14">
        <xdr:graphicFrame macro="">
          <xdr:nvGraphicFramePr>
            <xdr:cNvPr id="11" name="اسم الصنف الجديد">
              <a:extLst>
                <a:ext uri="{FF2B5EF4-FFF2-40B4-BE49-F238E27FC236}">
                  <a16:creationId xmlns:a16="http://schemas.microsoft.com/office/drawing/2014/main" id="{DECF276B-08CF-46EC-94A1-93E65CBE03F5}"/>
                </a:ext>
              </a:extLst>
            </xdr:cNvPr>
            <xdr:cNvGraphicFramePr/>
          </xdr:nvGraphicFramePr>
          <xdr:xfrm>
            <a:off x="0" y="0"/>
            <a:ext cx="0" cy="0"/>
          </xdr:xfrm>
          <a:graphic>
            <a:graphicData uri="http://schemas.microsoft.com/office/drawing/2010/slicer">
              <sle:slicer xmlns:sle="http://schemas.microsoft.com/office/drawing/2010/slicer" name="اسم الصنف الجديد"/>
            </a:graphicData>
          </a:graphic>
        </xdr:graphicFrame>
      </mc:Choice>
      <mc:Fallback>
        <xdr:sp macro="" textlink="">
          <xdr:nvSpPr>
            <xdr:cNvPr id="0" name=""/>
            <xdr:cNvSpPr>
              <a:spLocks noTextEdit="1"/>
            </xdr:cNvSpPr>
          </xdr:nvSpPr>
          <xdr:spPr>
            <a:xfrm>
              <a:off x="11325224" y="685799"/>
              <a:ext cx="118872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352424</xdr:colOff>
      <xdr:row>7</xdr:row>
      <xdr:rowOff>95725</xdr:rowOff>
    </xdr:from>
    <xdr:to>
      <xdr:col>20</xdr:col>
      <xdr:colOff>321944</xdr:colOff>
      <xdr:row>11</xdr:row>
      <xdr:rowOff>65245</xdr:rowOff>
    </xdr:to>
    <mc:AlternateContent xmlns:mc="http://schemas.openxmlformats.org/markup-compatibility/2006">
      <mc:Choice xmlns:a14="http://schemas.microsoft.com/office/drawing/2010/main" Requires="a14">
        <xdr:graphicFrame macro="">
          <xdr:nvGraphicFramePr>
            <xdr:cNvPr id="35" name="العنوان">
              <a:extLst>
                <a:ext uri="{FF2B5EF4-FFF2-40B4-BE49-F238E27FC236}">
                  <a16:creationId xmlns:a16="http://schemas.microsoft.com/office/drawing/2014/main" id="{42C2FEBE-AFE0-40B4-B4EC-CCEA5043FF6D}"/>
                </a:ext>
              </a:extLst>
            </xdr:cNvPr>
            <xdr:cNvGraphicFramePr/>
          </xdr:nvGraphicFramePr>
          <xdr:xfrm>
            <a:off x="0" y="0"/>
            <a:ext cx="0" cy="0"/>
          </xdr:xfrm>
          <a:graphic>
            <a:graphicData uri="http://schemas.microsoft.com/office/drawing/2010/slicer">
              <sle:slicer xmlns:sle="http://schemas.microsoft.com/office/drawing/2010/slicer" name="العنوان"/>
            </a:graphicData>
          </a:graphic>
        </xdr:graphicFrame>
      </mc:Choice>
      <mc:Fallback>
        <xdr:sp macro="" textlink="">
          <xdr:nvSpPr>
            <xdr:cNvPr id="0" name=""/>
            <xdr:cNvSpPr>
              <a:spLocks noTextEdit="1"/>
            </xdr:cNvSpPr>
          </xdr:nvSpPr>
          <xdr:spPr>
            <a:xfrm>
              <a:off x="11325224" y="1429225"/>
              <a:ext cx="118872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352424</xdr:colOff>
      <xdr:row>15</xdr:row>
      <xdr:rowOff>41432</xdr:rowOff>
    </xdr:from>
    <xdr:to>
      <xdr:col>20</xdr:col>
      <xdr:colOff>342899</xdr:colOff>
      <xdr:row>19</xdr:row>
      <xdr:rowOff>50958</xdr:rowOff>
    </xdr:to>
    <mc:AlternateContent xmlns:mc="http://schemas.openxmlformats.org/markup-compatibility/2006">
      <mc:Choice xmlns:a14="http://schemas.microsoft.com/office/drawing/2010/main" Requires="a14">
        <xdr:graphicFrame macro="">
          <xdr:nvGraphicFramePr>
            <xdr:cNvPr id="36" name="منصة البيع الجديد">
              <a:extLst>
                <a:ext uri="{FF2B5EF4-FFF2-40B4-BE49-F238E27FC236}">
                  <a16:creationId xmlns:a16="http://schemas.microsoft.com/office/drawing/2014/main" id="{28070DFE-3F54-413A-89BC-F3B1BB77F230}"/>
                </a:ext>
              </a:extLst>
            </xdr:cNvPr>
            <xdr:cNvGraphicFramePr/>
          </xdr:nvGraphicFramePr>
          <xdr:xfrm>
            <a:off x="0" y="0"/>
            <a:ext cx="0" cy="0"/>
          </xdr:xfrm>
          <a:graphic>
            <a:graphicData uri="http://schemas.microsoft.com/office/drawing/2010/slicer">
              <sle:slicer xmlns:sle="http://schemas.microsoft.com/office/drawing/2010/slicer" name="منصة البيع الجديد"/>
            </a:graphicData>
          </a:graphic>
        </xdr:graphicFrame>
      </mc:Choice>
      <mc:Fallback>
        <xdr:sp macro="" textlink="">
          <xdr:nvSpPr>
            <xdr:cNvPr id="0" name=""/>
            <xdr:cNvSpPr>
              <a:spLocks noTextEdit="1"/>
            </xdr:cNvSpPr>
          </xdr:nvSpPr>
          <xdr:spPr>
            <a:xfrm>
              <a:off x="11325224" y="2898932"/>
              <a:ext cx="1209675" cy="7715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352424</xdr:colOff>
      <xdr:row>19</xdr:row>
      <xdr:rowOff>47625</xdr:rowOff>
    </xdr:from>
    <xdr:to>
      <xdr:col>20</xdr:col>
      <xdr:colOff>321944</xdr:colOff>
      <xdr:row>21</xdr:row>
      <xdr:rowOff>123825</xdr:rowOff>
    </xdr:to>
    <mc:AlternateContent xmlns:mc="http://schemas.openxmlformats.org/markup-compatibility/2006">
      <mc:Choice xmlns:a14="http://schemas.microsoft.com/office/drawing/2010/main" Requires="a14">
        <xdr:graphicFrame macro="">
          <xdr:nvGraphicFramePr>
            <xdr:cNvPr id="41" name="كفاءة التسليم">
              <a:extLst>
                <a:ext uri="{FF2B5EF4-FFF2-40B4-BE49-F238E27FC236}">
                  <a16:creationId xmlns:a16="http://schemas.microsoft.com/office/drawing/2014/main" id="{970BF15A-9F4A-4636-B1EB-52DDF7266F4B}"/>
                </a:ext>
              </a:extLst>
            </xdr:cNvPr>
            <xdr:cNvGraphicFramePr/>
          </xdr:nvGraphicFramePr>
          <xdr:xfrm>
            <a:off x="0" y="0"/>
            <a:ext cx="0" cy="0"/>
          </xdr:xfrm>
          <a:graphic>
            <a:graphicData uri="http://schemas.microsoft.com/office/drawing/2010/slicer">
              <sle:slicer xmlns:sle="http://schemas.microsoft.com/office/drawing/2010/slicer" name="كفاءة التسليم"/>
            </a:graphicData>
          </a:graphic>
        </xdr:graphicFrame>
      </mc:Choice>
      <mc:Fallback>
        <xdr:sp macro="" textlink="">
          <xdr:nvSpPr>
            <xdr:cNvPr id="0" name=""/>
            <xdr:cNvSpPr>
              <a:spLocks noTextEdit="1"/>
            </xdr:cNvSpPr>
          </xdr:nvSpPr>
          <xdr:spPr>
            <a:xfrm>
              <a:off x="11325224" y="3667125"/>
              <a:ext cx="1188720"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66674</xdr:colOff>
      <xdr:row>3</xdr:row>
      <xdr:rowOff>75863</xdr:rowOff>
    </xdr:from>
    <xdr:to>
      <xdr:col>18</xdr:col>
      <xdr:colOff>249554</xdr:colOff>
      <xdr:row>6</xdr:row>
      <xdr:rowOff>116518</xdr:rowOff>
    </xdr:to>
    <xdr:grpSp>
      <xdr:nvGrpSpPr>
        <xdr:cNvPr id="13" name="Group 12">
          <a:extLst>
            <a:ext uri="{FF2B5EF4-FFF2-40B4-BE49-F238E27FC236}">
              <a16:creationId xmlns:a16="http://schemas.microsoft.com/office/drawing/2014/main" id="{F6ABD52F-42F5-C0F7-E375-179060D9DE13}"/>
            </a:ext>
          </a:extLst>
        </xdr:cNvPr>
        <xdr:cNvGrpSpPr/>
      </xdr:nvGrpSpPr>
      <xdr:grpSpPr>
        <a:xfrm>
          <a:off x="9210674" y="647363"/>
          <a:ext cx="2011680" cy="612155"/>
          <a:chOff x="4524376" y="864735"/>
          <a:chExt cx="1743075" cy="757406"/>
        </a:xfrm>
      </xdr:grpSpPr>
      <xdr:sp macro="" textlink="">
        <xdr:nvSpPr>
          <xdr:cNvPr id="23" name="Rectangle: Rounded Corners 22">
            <a:extLst>
              <a:ext uri="{FF2B5EF4-FFF2-40B4-BE49-F238E27FC236}">
                <a16:creationId xmlns:a16="http://schemas.microsoft.com/office/drawing/2014/main" id="{0274AE20-172B-8267-91C6-5E4256651200}"/>
              </a:ext>
            </a:extLst>
          </xdr:cNvPr>
          <xdr:cNvSpPr/>
        </xdr:nvSpPr>
        <xdr:spPr>
          <a:xfrm>
            <a:off x="4524376" y="864735"/>
            <a:ext cx="1743075" cy="757406"/>
          </a:xfrm>
          <a:prstGeom prst="roundRect">
            <a:avLst/>
          </a:prstGeom>
          <a:solidFill>
            <a:srgbClr val="1825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اجمــالــــــي</a:t>
            </a:r>
            <a:r>
              <a:rPr lang="ar-EG" sz="1600">
                <a:latin typeface="Sanskrit Text" panose="02020503050405020304" pitchFamily="18" charset="0"/>
                <a:cs typeface="Sanskrit Text" panose="02020503050405020304" pitchFamily="18" charset="0"/>
              </a:rPr>
              <a:t> </a:t>
            </a: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المبيعـــــــات</a:t>
            </a:r>
            <a:endParaRPr lang="en-US" sz="1400" b="1" i="0" u="none" strike="noStrike" kern="1200" spc="0" baseline="0">
              <a:solidFill>
                <a:schemeClr val="bg1"/>
              </a:solidFill>
              <a:latin typeface="Sanskrit Text" panose="02020503050405020304" pitchFamily="18" charset="0"/>
              <a:ea typeface="+mn-ea"/>
              <a:cs typeface="Sanskrit Text" panose="02020503050405020304" pitchFamily="18" charset="0"/>
            </a:endParaRPr>
          </a:p>
        </xdr:txBody>
      </xdr:sp>
      <xdr:sp macro="" textlink="'Pivot Table'!D7">
        <xdr:nvSpPr>
          <xdr:cNvPr id="30" name="TextBox 29">
            <a:extLst>
              <a:ext uri="{FF2B5EF4-FFF2-40B4-BE49-F238E27FC236}">
                <a16:creationId xmlns:a16="http://schemas.microsoft.com/office/drawing/2014/main" id="{98C750DD-C496-7339-71C1-6EB92EC2CBB9}"/>
              </a:ext>
            </a:extLst>
          </xdr:cNvPr>
          <xdr:cNvSpPr txBox="1"/>
        </xdr:nvSpPr>
        <xdr:spPr>
          <a:xfrm>
            <a:off x="4838701" y="1247775"/>
            <a:ext cx="1123950" cy="35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A70809CD-FDCF-4DFD-A99A-94549615396D}" type="TxLink">
              <a:rPr lang="en-US" sz="1600" b="1" i="0" u="none" strike="noStrike">
                <a:solidFill>
                  <a:srgbClr val="F20530"/>
                </a:solidFill>
                <a:latin typeface="Calibri"/>
                <a:ea typeface="+mn-ea"/>
                <a:cs typeface="Calibri"/>
              </a:rPr>
              <a:pPr marL="0" indent="0" algn="ctr"/>
              <a:t>1,205,888</a:t>
            </a:fld>
            <a:endParaRPr lang="en-US" sz="1600" b="1" i="0" u="none" strike="noStrike">
              <a:solidFill>
                <a:srgbClr val="F20530"/>
              </a:solidFill>
              <a:latin typeface="Calibri"/>
              <a:ea typeface="+mn-ea"/>
              <a:cs typeface="Calibri"/>
            </a:endParaRPr>
          </a:p>
        </xdr:txBody>
      </xdr:sp>
    </xdr:grpSp>
    <xdr:clientData/>
  </xdr:twoCellAnchor>
  <xdr:twoCellAnchor>
    <xdr:from>
      <xdr:col>10</xdr:col>
      <xdr:colOff>593724</xdr:colOff>
      <xdr:row>3</xdr:row>
      <xdr:rowOff>77817</xdr:rowOff>
    </xdr:from>
    <xdr:to>
      <xdr:col>14</xdr:col>
      <xdr:colOff>167004</xdr:colOff>
      <xdr:row>6</xdr:row>
      <xdr:rowOff>116519</xdr:rowOff>
    </xdr:to>
    <xdr:grpSp>
      <xdr:nvGrpSpPr>
        <xdr:cNvPr id="14" name="Group 13">
          <a:extLst>
            <a:ext uri="{FF2B5EF4-FFF2-40B4-BE49-F238E27FC236}">
              <a16:creationId xmlns:a16="http://schemas.microsoft.com/office/drawing/2014/main" id="{D486883E-30EB-0982-3E43-B4326992276B}"/>
            </a:ext>
          </a:extLst>
        </xdr:cNvPr>
        <xdr:cNvGrpSpPr/>
      </xdr:nvGrpSpPr>
      <xdr:grpSpPr>
        <a:xfrm>
          <a:off x="6689724" y="649317"/>
          <a:ext cx="2011680" cy="610202"/>
          <a:chOff x="10810875" y="1209676"/>
          <a:chExt cx="1743075" cy="518786"/>
        </a:xfrm>
      </xdr:grpSpPr>
      <xdr:sp macro="" textlink="">
        <xdr:nvSpPr>
          <xdr:cNvPr id="21" name="Rectangle: Rounded Corners 20">
            <a:extLst>
              <a:ext uri="{FF2B5EF4-FFF2-40B4-BE49-F238E27FC236}">
                <a16:creationId xmlns:a16="http://schemas.microsoft.com/office/drawing/2014/main" id="{61F03D98-070C-0599-414A-611FD6065472}"/>
              </a:ext>
            </a:extLst>
          </xdr:cNvPr>
          <xdr:cNvSpPr/>
        </xdr:nvSpPr>
        <xdr:spPr>
          <a:xfrm>
            <a:off x="10810875" y="1209676"/>
            <a:ext cx="1743075" cy="518786"/>
          </a:xfrm>
          <a:prstGeom prst="roundRect">
            <a:avLst/>
          </a:prstGeom>
          <a:solidFill>
            <a:srgbClr val="1825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متــوســــــط</a:t>
            </a:r>
            <a:r>
              <a:rPr lang="ar-EG" sz="1600" baseline="0">
                <a:latin typeface="Sanskrit Text" panose="02020503050405020304" pitchFamily="18" charset="0"/>
                <a:cs typeface="Sanskrit Text" panose="02020503050405020304" pitchFamily="18" charset="0"/>
              </a:rPr>
              <a:t> </a:t>
            </a: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المبيعـــــات</a:t>
            </a:r>
            <a:endParaRPr lang="en-US" sz="1400" b="1" i="0" u="none" strike="noStrike" kern="1200" spc="0" baseline="0">
              <a:solidFill>
                <a:schemeClr val="bg1"/>
              </a:solidFill>
              <a:latin typeface="Sanskrit Text" panose="02020503050405020304" pitchFamily="18" charset="0"/>
              <a:ea typeface="+mn-ea"/>
              <a:cs typeface="Sanskrit Text" panose="02020503050405020304" pitchFamily="18" charset="0"/>
            </a:endParaRPr>
          </a:p>
        </xdr:txBody>
      </xdr:sp>
      <xdr:sp macro="" textlink="'Pivot Table'!K3">
        <xdr:nvSpPr>
          <xdr:cNvPr id="22" name="TextBox 21">
            <a:extLst>
              <a:ext uri="{FF2B5EF4-FFF2-40B4-BE49-F238E27FC236}">
                <a16:creationId xmlns:a16="http://schemas.microsoft.com/office/drawing/2014/main" id="{192E9417-3272-E9A3-E671-7B1D9221A384}"/>
              </a:ext>
            </a:extLst>
          </xdr:cNvPr>
          <xdr:cNvSpPr txBox="1"/>
        </xdr:nvSpPr>
        <xdr:spPr>
          <a:xfrm>
            <a:off x="11096626" y="1487018"/>
            <a:ext cx="1123950" cy="230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655650B-BC6C-41F8-858C-D7C835158FF5}" type="TxLink">
              <a:rPr lang="en-US" sz="1600" b="1" i="0" u="none" strike="noStrike">
                <a:solidFill>
                  <a:srgbClr val="F20530"/>
                </a:solidFill>
                <a:latin typeface="Calibri"/>
                <a:ea typeface="+mn-ea"/>
                <a:cs typeface="Calibri"/>
              </a:rPr>
              <a:pPr marL="0" indent="0" algn="ctr"/>
              <a:t>10,396</a:t>
            </a:fld>
            <a:endParaRPr lang="en-US" sz="1600" b="1" i="0" u="none" strike="noStrike">
              <a:solidFill>
                <a:srgbClr val="F20530"/>
              </a:solidFill>
              <a:latin typeface="Calibri"/>
              <a:ea typeface="+mn-ea"/>
              <a:cs typeface="Calibri"/>
            </a:endParaRPr>
          </a:p>
        </xdr:txBody>
      </xdr:sp>
    </xdr:grpSp>
    <xdr:clientData/>
  </xdr:twoCellAnchor>
  <xdr:twoCellAnchor>
    <xdr:from>
      <xdr:col>6</xdr:col>
      <xdr:colOff>511174</xdr:colOff>
      <xdr:row>3</xdr:row>
      <xdr:rowOff>76199</xdr:rowOff>
    </xdr:from>
    <xdr:to>
      <xdr:col>10</xdr:col>
      <xdr:colOff>84454</xdr:colOff>
      <xdr:row>6</xdr:row>
      <xdr:rowOff>116518</xdr:rowOff>
    </xdr:to>
    <xdr:grpSp>
      <xdr:nvGrpSpPr>
        <xdr:cNvPr id="16" name="Group 15">
          <a:extLst>
            <a:ext uri="{FF2B5EF4-FFF2-40B4-BE49-F238E27FC236}">
              <a16:creationId xmlns:a16="http://schemas.microsoft.com/office/drawing/2014/main" id="{61E04AA8-740D-FBE1-3259-D6C250371E57}"/>
            </a:ext>
          </a:extLst>
        </xdr:cNvPr>
        <xdr:cNvGrpSpPr/>
      </xdr:nvGrpSpPr>
      <xdr:grpSpPr>
        <a:xfrm>
          <a:off x="4168774" y="647699"/>
          <a:ext cx="2011680" cy="611819"/>
          <a:chOff x="3095625" y="600076"/>
          <a:chExt cx="1743075" cy="518786"/>
        </a:xfrm>
      </xdr:grpSpPr>
      <xdr:sp macro="" textlink="">
        <xdr:nvSpPr>
          <xdr:cNvPr id="17" name="Rectangle: Rounded Corners 16">
            <a:extLst>
              <a:ext uri="{FF2B5EF4-FFF2-40B4-BE49-F238E27FC236}">
                <a16:creationId xmlns:a16="http://schemas.microsoft.com/office/drawing/2014/main" id="{3ADAF941-62A5-F7D3-778D-084F9AED7C2F}"/>
              </a:ext>
            </a:extLst>
          </xdr:cNvPr>
          <xdr:cNvSpPr/>
        </xdr:nvSpPr>
        <xdr:spPr>
          <a:xfrm>
            <a:off x="3095625" y="600076"/>
            <a:ext cx="1743075" cy="518786"/>
          </a:xfrm>
          <a:prstGeom prst="roundRect">
            <a:avLst/>
          </a:prstGeom>
          <a:solidFill>
            <a:srgbClr val="1825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اجمـــالـــــــي</a:t>
            </a:r>
            <a:r>
              <a:rPr lang="ar-EG" sz="1600" baseline="0">
                <a:latin typeface="Sanskrit Text" panose="02020503050405020304" pitchFamily="18" charset="0"/>
                <a:cs typeface="Sanskrit Text" panose="02020503050405020304" pitchFamily="18" charset="0"/>
              </a:rPr>
              <a:t> </a:t>
            </a: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الطلبــــــــات</a:t>
            </a:r>
            <a:endParaRPr lang="en-US" sz="1400" b="1" i="0" u="none" strike="noStrike" kern="1200" spc="0" baseline="0">
              <a:solidFill>
                <a:schemeClr val="bg1"/>
              </a:solidFill>
              <a:latin typeface="Sanskrit Text" panose="02020503050405020304" pitchFamily="18" charset="0"/>
              <a:ea typeface="+mn-ea"/>
              <a:cs typeface="Sanskrit Text" panose="02020503050405020304" pitchFamily="18" charset="0"/>
            </a:endParaRPr>
          </a:p>
        </xdr:txBody>
      </xdr:sp>
      <xdr:sp macro="" textlink="'Pivot Table'!H6">
        <xdr:nvSpPr>
          <xdr:cNvPr id="20" name="TextBox 19">
            <a:extLst>
              <a:ext uri="{FF2B5EF4-FFF2-40B4-BE49-F238E27FC236}">
                <a16:creationId xmlns:a16="http://schemas.microsoft.com/office/drawing/2014/main" id="{1428B1A0-6505-B1D2-3C24-3B8494E478F4}"/>
              </a:ext>
            </a:extLst>
          </xdr:cNvPr>
          <xdr:cNvSpPr txBox="1"/>
        </xdr:nvSpPr>
        <xdr:spPr>
          <a:xfrm>
            <a:off x="3419476" y="869908"/>
            <a:ext cx="1123950" cy="219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81C7CF-A83A-450D-824F-0BE52E9F0E85}" type="TxLink">
              <a:rPr lang="en-US" sz="1600" b="1" i="0" u="none" strike="noStrike">
                <a:solidFill>
                  <a:srgbClr val="F20530"/>
                </a:solidFill>
                <a:latin typeface="Calibri"/>
                <a:ea typeface="+mn-ea"/>
                <a:cs typeface="Calibri"/>
              </a:rPr>
              <a:pPr marL="0" indent="0" algn="ctr"/>
              <a:t>116</a:t>
            </a:fld>
            <a:endParaRPr lang="en-US" sz="1600" b="1" i="0" u="none" strike="noStrike">
              <a:solidFill>
                <a:srgbClr val="F20530"/>
              </a:solidFill>
              <a:latin typeface="Calibri"/>
              <a:ea typeface="+mn-ea"/>
              <a:cs typeface="Calibri"/>
            </a:endParaRPr>
          </a:p>
        </xdr:txBody>
      </xdr:sp>
    </xdr:grpSp>
    <xdr:clientData/>
  </xdr:twoCellAnchor>
  <xdr:twoCellAnchor>
    <xdr:from>
      <xdr:col>2</xdr:col>
      <xdr:colOff>428624</xdr:colOff>
      <xdr:row>3</xdr:row>
      <xdr:rowOff>76199</xdr:rowOff>
    </xdr:from>
    <xdr:to>
      <xdr:col>6</xdr:col>
      <xdr:colOff>1904</xdr:colOff>
      <xdr:row>6</xdr:row>
      <xdr:rowOff>116518</xdr:rowOff>
    </xdr:to>
    <xdr:grpSp>
      <xdr:nvGrpSpPr>
        <xdr:cNvPr id="31" name="Group 30">
          <a:extLst>
            <a:ext uri="{FF2B5EF4-FFF2-40B4-BE49-F238E27FC236}">
              <a16:creationId xmlns:a16="http://schemas.microsoft.com/office/drawing/2014/main" id="{2002B159-05DA-4227-BBCD-53749103EE34}"/>
            </a:ext>
          </a:extLst>
        </xdr:cNvPr>
        <xdr:cNvGrpSpPr/>
      </xdr:nvGrpSpPr>
      <xdr:grpSpPr>
        <a:xfrm>
          <a:off x="1647824" y="647699"/>
          <a:ext cx="2011680" cy="611819"/>
          <a:chOff x="3095625" y="600076"/>
          <a:chExt cx="1743075" cy="518786"/>
        </a:xfrm>
      </xdr:grpSpPr>
      <xdr:sp macro="" textlink="">
        <xdr:nvSpPr>
          <xdr:cNvPr id="32" name="Rectangle: Rounded Corners 31">
            <a:extLst>
              <a:ext uri="{FF2B5EF4-FFF2-40B4-BE49-F238E27FC236}">
                <a16:creationId xmlns:a16="http://schemas.microsoft.com/office/drawing/2014/main" id="{88A2BFD3-323D-0ED5-5551-FBC38119867B}"/>
              </a:ext>
            </a:extLst>
          </xdr:cNvPr>
          <xdr:cNvSpPr/>
        </xdr:nvSpPr>
        <xdr:spPr>
          <a:xfrm>
            <a:off x="3095625" y="600076"/>
            <a:ext cx="1743075" cy="518786"/>
          </a:xfrm>
          <a:prstGeom prst="roundRect">
            <a:avLst/>
          </a:prstGeom>
          <a:solidFill>
            <a:srgbClr val="18254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ar-EG" sz="1400" b="1" i="0" u="none" strike="noStrike" kern="1200" spc="0" baseline="0">
                <a:solidFill>
                  <a:schemeClr val="bg1"/>
                </a:solidFill>
                <a:latin typeface="Sanskrit Text" panose="02020503050405020304" pitchFamily="18" charset="0"/>
                <a:ea typeface="+mn-ea"/>
                <a:cs typeface="Sanskrit Text" panose="02020503050405020304" pitchFamily="18" charset="0"/>
              </a:rPr>
              <a:t>عــــدد الألـــــــــــوان</a:t>
            </a:r>
            <a:endParaRPr lang="en-US" sz="1400" b="1" i="0" u="none" strike="noStrike" kern="1200" spc="0" baseline="0">
              <a:solidFill>
                <a:schemeClr val="bg1"/>
              </a:solidFill>
              <a:latin typeface="Sanskrit Text" panose="02020503050405020304" pitchFamily="18" charset="0"/>
              <a:ea typeface="+mn-ea"/>
              <a:cs typeface="Sanskrit Text" panose="02020503050405020304" pitchFamily="18" charset="0"/>
            </a:endParaRPr>
          </a:p>
        </xdr:txBody>
      </xdr:sp>
      <xdr:sp macro="" textlink="'Pivot Table'!AV5">
        <xdr:nvSpPr>
          <xdr:cNvPr id="33" name="TextBox 32">
            <a:extLst>
              <a:ext uri="{FF2B5EF4-FFF2-40B4-BE49-F238E27FC236}">
                <a16:creationId xmlns:a16="http://schemas.microsoft.com/office/drawing/2014/main" id="{5D28431E-7900-730A-43C1-B1F2E18DF339}"/>
              </a:ext>
            </a:extLst>
          </xdr:cNvPr>
          <xdr:cNvSpPr txBox="1"/>
        </xdr:nvSpPr>
        <xdr:spPr>
          <a:xfrm>
            <a:off x="3409951" y="833699"/>
            <a:ext cx="1123950" cy="2703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EDD6639-A18A-4608-9FB5-90B9AC28CB0C}" type="TxLink">
              <a:rPr lang="en-US" sz="1600" b="1" i="0" u="none" strike="noStrike">
                <a:solidFill>
                  <a:srgbClr val="FF0000"/>
                </a:solidFill>
                <a:latin typeface="Calibri"/>
                <a:ea typeface="+mn-ea"/>
                <a:cs typeface="Calibri"/>
              </a:rPr>
              <a:pPr marL="0" indent="0" algn="ctr"/>
              <a:t>11</a:t>
            </a:fld>
            <a:endParaRPr lang="en-US" sz="1600" b="1" i="0" u="none" strike="noStrike">
              <a:solidFill>
                <a:srgbClr val="FF0000"/>
              </a:solidFill>
              <a:latin typeface="Calibri"/>
              <a:ea typeface="+mn-ea"/>
              <a:cs typeface="Calibri"/>
            </a:endParaRPr>
          </a:p>
        </xdr:txBody>
      </xdr:sp>
    </xdr:grpSp>
    <xdr:clientData/>
  </xdr:twoCellAnchor>
  <xdr:twoCellAnchor editAs="oneCell">
    <xdr:from>
      <xdr:col>18</xdr:col>
      <xdr:colOff>361949</xdr:colOff>
      <xdr:row>11</xdr:row>
      <xdr:rowOff>67626</xdr:rowOff>
    </xdr:from>
    <xdr:to>
      <xdr:col>20</xdr:col>
      <xdr:colOff>331469</xdr:colOff>
      <xdr:row>15</xdr:row>
      <xdr:rowOff>37146</xdr:rowOff>
    </xdr:to>
    <mc:AlternateContent xmlns:mc="http://schemas.openxmlformats.org/markup-compatibility/2006" xmlns:a14="http://schemas.microsoft.com/office/drawing/2010/main">
      <mc:Choice Requires="a14">
        <xdr:graphicFrame macro="">
          <xdr:nvGraphicFramePr>
            <xdr:cNvPr id="34" name="اللون المعدن2">
              <a:extLst>
                <a:ext uri="{FF2B5EF4-FFF2-40B4-BE49-F238E27FC236}">
                  <a16:creationId xmlns:a16="http://schemas.microsoft.com/office/drawing/2014/main" id="{8D06750E-68A0-48D7-B5E7-86ED62CBB182}"/>
                </a:ext>
              </a:extLst>
            </xdr:cNvPr>
            <xdr:cNvGraphicFramePr/>
          </xdr:nvGraphicFramePr>
          <xdr:xfrm>
            <a:off x="0" y="0"/>
            <a:ext cx="0" cy="0"/>
          </xdr:xfrm>
          <a:graphic>
            <a:graphicData uri="http://schemas.microsoft.com/office/drawing/2010/slicer">
              <sle:slicer xmlns:sle="http://schemas.microsoft.com/office/drawing/2010/slicer" name="اللون المعدن2"/>
            </a:graphicData>
          </a:graphic>
        </xdr:graphicFrame>
      </mc:Choice>
      <mc:Fallback xmlns="">
        <xdr:sp macro="" textlink="">
          <xdr:nvSpPr>
            <xdr:cNvPr id="0" name=""/>
            <xdr:cNvSpPr>
              <a:spLocks noTextEdit="1"/>
            </xdr:cNvSpPr>
          </xdr:nvSpPr>
          <xdr:spPr>
            <a:xfrm>
              <a:off x="11334749" y="2163126"/>
              <a:ext cx="118872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352424</xdr:colOff>
      <xdr:row>11</xdr:row>
      <xdr:rowOff>67626</xdr:rowOff>
    </xdr:from>
    <xdr:to>
      <xdr:col>20</xdr:col>
      <xdr:colOff>321944</xdr:colOff>
      <xdr:row>15</xdr:row>
      <xdr:rowOff>37146</xdr:rowOff>
    </xdr:to>
    <mc:AlternateContent xmlns:mc="http://schemas.openxmlformats.org/markup-compatibility/2006">
      <mc:Choice xmlns:a14="http://schemas.microsoft.com/office/drawing/2010/main" Requires="a14">
        <xdr:graphicFrame macro="">
          <xdr:nvGraphicFramePr>
            <xdr:cNvPr id="2" name="اللون المعدن2 1">
              <a:extLst>
                <a:ext uri="{FF2B5EF4-FFF2-40B4-BE49-F238E27FC236}">
                  <a16:creationId xmlns:a16="http://schemas.microsoft.com/office/drawing/2014/main" id="{9776EA34-5DF6-450E-8D09-156EAF022FC7}"/>
                </a:ext>
              </a:extLst>
            </xdr:cNvPr>
            <xdr:cNvGraphicFramePr/>
          </xdr:nvGraphicFramePr>
          <xdr:xfrm>
            <a:off x="0" y="0"/>
            <a:ext cx="0" cy="0"/>
          </xdr:xfrm>
          <a:graphic>
            <a:graphicData uri="http://schemas.microsoft.com/office/drawing/2010/slicer">
              <sle:slicer xmlns:sle="http://schemas.microsoft.com/office/drawing/2010/slicer" name="اللون المعدن2 1"/>
            </a:graphicData>
          </a:graphic>
        </xdr:graphicFrame>
      </mc:Choice>
      <mc:Fallback>
        <xdr:sp macro="" textlink="">
          <xdr:nvSpPr>
            <xdr:cNvPr id="0" name=""/>
            <xdr:cNvSpPr>
              <a:spLocks noTextEdit="1"/>
            </xdr:cNvSpPr>
          </xdr:nvSpPr>
          <xdr:spPr>
            <a:xfrm>
              <a:off x="11325224" y="2163126"/>
              <a:ext cx="118872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18</xdr:col>
          <xdr:colOff>352424</xdr:colOff>
          <xdr:row>0</xdr:row>
          <xdr:rowOff>66675</xdr:rowOff>
        </xdr:from>
        <xdr:to>
          <xdr:col>20</xdr:col>
          <xdr:colOff>333374</xdr:colOff>
          <xdr:row>3</xdr:row>
          <xdr:rowOff>38100</xdr:rowOff>
        </xdr:to>
        <xdr:sp macro="" textlink="">
          <xdr:nvSpPr>
            <xdr:cNvPr id="1027" name="Button 3" descr="Rest" hidden="1">
              <a:extLst>
                <a:ext uri="{63B3BB69-23CF-44E3-9099-C40C66FF867C}">
                  <a14:compatExt spid="_x0000_s1027"/>
                </a:ext>
                <a:ext uri="{FF2B5EF4-FFF2-40B4-BE49-F238E27FC236}">
                  <a16:creationId xmlns:a16="http://schemas.microsoft.com/office/drawing/2014/main" id="{42C05890-8A94-A468-5C5B-3C57DD107F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ouad Al-Ameer" refreshedDate="46158.724815624999" missingItemsLimit="0" createdVersion="8" refreshedVersion="8" minRefreshableVersion="3" recordCount="116" xr:uid="{57C5A021-160E-44C4-B593-423A3A65F2CF}">
  <cacheSource type="worksheet">
    <worksheetSource ref="A1:R117" sheet="البيانات"/>
  </cacheSource>
  <cacheFields count="19">
    <cacheField name="أسم العميل" numFmtId="0">
      <sharedItems/>
    </cacheField>
    <cacheField name="نوع العميل" numFmtId="0">
      <sharedItems count="2">
        <s v="أفراد"/>
        <s v="شركات"/>
      </sharedItems>
    </cacheField>
    <cacheField name="العنوان" numFmtId="0">
      <sharedItems count="7">
        <s v="الجيزه"/>
        <s v="الاسكندريه"/>
        <s v="البحر الأحمر"/>
        <s v="القاهرة"/>
        <s v="القليوبيه"/>
        <s v="السويس"/>
        <s v="أسيوط"/>
      </sharedItems>
    </cacheField>
    <cacheField name="منصة البيع " numFmtId="0">
      <sharedItems/>
    </cacheField>
    <cacheField name="منصة البيع الجديد" numFmtId="0">
      <sharedItems count="7">
        <s v="هومزمارت"/>
        <s v="شيك هومز"/>
        <s v="فيس بوك"/>
        <s v="تاكى"/>
        <s v="اوسكار ريتن"/>
        <s v="منزلى"/>
        <s v="كيمت"/>
      </sharedItems>
    </cacheField>
    <cacheField name="اسم الصنف" numFmtId="0">
      <sharedItems/>
    </cacheField>
    <cacheField name="اسم الصنف الجديد" numFmtId="0">
      <sharedItems count="6">
        <s v="سرير"/>
        <s v="تربيزه"/>
        <s v="كنبه"/>
        <s v="ركنة"/>
        <s v="كرسى"/>
        <s v="شيزلونج"/>
      </sharedItems>
    </cacheField>
    <cacheField name="نوع الصنف" numFmtId="0">
      <sharedItems containsBlank="1"/>
    </cacheField>
    <cacheField name="الموديل" numFmtId="0">
      <sharedItems containsBlank="1"/>
    </cacheField>
    <cacheField name="المقاس" numFmtId="0">
      <sharedItems containsString="0" containsBlank="1" containsNumber="1" containsInteger="1" minValue="80" maxValue="160"/>
    </cacheField>
    <cacheField name="اللون المعدن" numFmtId="0">
      <sharedItems count="11">
        <s v="أبيض"/>
        <s v="أسود"/>
        <s v="ازرق"/>
        <s v="رمادي"/>
        <s v="دهبي"/>
        <s v="بنفسجى"/>
        <s v="أسود وبنى"/>
        <s v="ملون"/>
        <s v="بينك"/>
        <s v="نبيتى "/>
        <s v="الوان"/>
      </sharedItems>
      <fieldGroup par="18"/>
    </cacheField>
    <cacheField name="لون القماش" numFmtId="0">
      <sharedItems containsBlank="1"/>
    </cacheField>
    <cacheField name="المنتج" numFmtId="0">
      <sharedItems containsBlank="1"/>
    </cacheField>
    <cacheField name="سعر البيع " numFmtId="0">
      <sharedItems containsSemiMixedTypes="0" containsString="0" containsNumber="1" minValue="4020" maxValue="22000"/>
    </cacheField>
    <cacheField name="طريقه الدفع " numFmtId="0">
      <sharedItems/>
    </cacheField>
    <cacheField name="المسئول عن التسليم" numFmtId="0">
      <sharedItems containsBlank="1" count="4">
        <s v="شركه شحن "/>
        <m/>
        <s v="مندوبنا"/>
        <s v="الحج سيد "/>
      </sharedItems>
    </cacheField>
    <cacheField name="الحالة" numFmtId="0">
      <sharedItems count="3">
        <s v="تم التسليم "/>
        <s v="فشل التسليم"/>
        <s v="لاغي"/>
      </sharedItems>
    </cacheField>
    <cacheField name="كفاءة التسليم" numFmtId="0">
      <sharedItems count="3">
        <s v="في الموعد"/>
        <s v="مرتجعات"/>
        <s v="تأخير"/>
      </sharedItems>
    </cacheField>
    <cacheField name="اللون المعدن2" numFmtId="0" databaseField="0">
      <fieldGroup base="10">
        <discretePr count="11">
          <x v="0"/>
          <x v="1"/>
          <x v="2"/>
          <x v="3"/>
          <x v="4"/>
          <x v="4"/>
          <x v="4"/>
          <x v="4"/>
          <x v="4"/>
          <x v="4"/>
          <x v="4"/>
        </discretePr>
        <groupItems count="5">
          <s v="أبيض"/>
          <s v="أسود"/>
          <s v="ازرق"/>
          <s v="رمادي"/>
          <s v="Group1"/>
        </groupItems>
      </fieldGroup>
    </cacheField>
  </cacheFields>
  <extLst>
    <ext xmlns:x14="http://schemas.microsoft.com/office/spreadsheetml/2009/9/main" uri="{725AE2AE-9491-48be-B2B4-4EB974FC3084}">
      <x14:pivotCacheDefinition pivotCacheId="11018404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ouad Al-Ameer" refreshedDate="46158.743670370372" backgroundQuery="1" createdVersion="8" refreshedVersion="8" minRefreshableVersion="3" recordCount="0" supportSubquery="1" supportAdvancedDrill="1" xr:uid="{039977B1-FC15-4C20-B732-9586B92CB198}">
  <cacheSource type="external" connectionId="1"/>
  <cacheFields count="1">
    <cacheField name="[Measures].[Distinct Count of اللون المعدن]" caption="Distinct Count of اللون المعدن" numFmtId="0" hierarchy="21" level="32767"/>
  </cacheFields>
  <cacheHierarchies count="22">
    <cacheHierarchy uniqueName="[Table1].[أسم العميل]" caption="أسم العميل" attribute="1" defaultMemberUniqueName="[Table1].[أسم العميل].[All]" allUniqueName="[Table1].[أسم العميل].[All]" dimensionUniqueName="[Table1]" displayFolder="" count="0" memberValueDatatype="130" unbalanced="0"/>
    <cacheHierarchy uniqueName="[Table1].[نوع العميل]" caption="نوع العميل" attribute="1" defaultMemberUniqueName="[Table1].[نوع العميل].[All]" allUniqueName="[Table1].[نوع العميل].[All]" dimensionUniqueName="[Table1]" displayFolder="" count="0" memberValueDatatype="130" unbalanced="0"/>
    <cacheHierarchy uniqueName="[Table1].[العنوان]" caption="العنوان" attribute="1" defaultMemberUniqueName="[Table1].[العنوان].[All]" allUniqueName="[Table1].[العنوان].[All]" dimensionUniqueName="[Table1]" displayFolder="" count="0" memberValueDatatype="130" unbalanced="0"/>
    <cacheHierarchy uniqueName="[Table1].[منصة البيع]" caption="منصة البيع" attribute="1" defaultMemberUniqueName="[Table1].[منصة البيع].[All]" allUniqueName="[Table1].[منصة البيع].[All]" dimensionUniqueName="[Table1]" displayFolder="" count="0" memberValueDatatype="130" unbalanced="0"/>
    <cacheHierarchy uniqueName="[Table1].[منصة البيع الجديد]" caption="منصة البيع الجديد" attribute="1" defaultMemberUniqueName="[Table1].[منصة البيع الجديد].[All]" allUniqueName="[Table1].[منصة البيع الجديد].[All]" dimensionUniqueName="[Table1]" displayFolder="" count="0" memberValueDatatype="130" unbalanced="0"/>
    <cacheHierarchy uniqueName="[Table1].[اسم الصنف]" caption="اسم الصنف" attribute="1" defaultMemberUniqueName="[Table1].[اسم الصنف].[All]" allUniqueName="[Table1].[اسم الصنف].[All]" dimensionUniqueName="[Table1]" displayFolder="" count="0" memberValueDatatype="130" unbalanced="0"/>
    <cacheHierarchy uniqueName="[Table1].[اسم الصنف الجديد]" caption="اسم الصنف الجديد" attribute="1" defaultMemberUniqueName="[Table1].[اسم الصنف الجديد].[All]" allUniqueName="[Table1].[اسم الصنف الجديد].[All]" dimensionUniqueName="[Table1]" displayFolder="" count="0" memberValueDatatype="130" unbalanced="0"/>
    <cacheHierarchy uniqueName="[Table1].[نوع الصنف]" caption="نوع الصنف" attribute="1" defaultMemberUniqueName="[Table1].[نوع الصنف].[All]" allUniqueName="[Table1].[نوع الصنف].[All]" dimensionUniqueName="[Table1]" displayFolder="" count="0" memberValueDatatype="130" unbalanced="0"/>
    <cacheHierarchy uniqueName="[Table1].[الموديل]" caption="الموديل" attribute="1" defaultMemberUniqueName="[Table1].[الموديل].[All]" allUniqueName="[Table1].[الموديل].[All]" dimensionUniqueName="[Table1]" displayFolder="" count="0" memberValueDatatype="130" unbalanced="0"/>
    <cacheHierarchy uniqueName="[Table1].[المقاس]" caption="المقاس" attribute="1" defaultMemberUniqueName="[Table1].[المقاس].[All]" allUniqueName="[Table1].[المقاس].[All]" dimensionUniqueName="[Table1]" displayFolder="" count="0" memberValueDatatype="20" unbalanced="0"/>
    <cacheHierarchy uniqueName="[Table1].[اللون المعدن]" caption="اللون المعدن" attribute="1" defaultMemberUniqueName="[Table1].[اللون المعدن].[All]" allUniqueName="[Table1].[اللون المعدن].[All]" dimensionUniqueName="[Table1]" displayFolder="" count="0" memberValueDatatype="130" unbalanced="0"/>
    <cacheHierarchy uniqueName="[Table1].[لون القماش]" caption="لون القماش" attribute="1" defaultMemberUniqueName="[Table1].[لون القماش].[All]" allUniqueName="[Table1].[لون القماش].[All]" dimensionUniqueName="[Table1]" displayFolder="" count="0" memberValueDatatype="130" unbalanced="0"/>
    <cacheHierarchy uniqueName="[Table1].[المنتج]" caption="المنتج" attribute="1" defaultMemberUniqueName="[Table1].[المنتج].[All]" allUniqueName="[Table1].[المنتج].[All]" dimensionUniqueName="[Table1]" displayFolder="" count="0" memberValueDatatype="130" unbalanced="0"/>
    <cacheHierarchy uniqueName="[Table1].[سعر البيع]" caption="سعر البيع" attribute="1" defaultMemberUniqueName="[Table1].[سعر البيع].[All]" allUniqueName="[Table1].[سعر البيع].[All]" dimensionUniqueName="[Table1]" displayFolder="" count="0" memberValueDatatype="5" unbalanced="0"/>
    <cacheHierarchy uniqueName="[Table1].[طريقه الدفع]" caption="طريقه الدفع" attribute="1" defaultMemberUniqueName="[Table1].[طريقه الدفع].[All]" allUniqueName="[Table1].[طريقه الدفع].[All]" dimensionUniqueName="[Table1]" displayFolder="" count="0" memberValueDatatype="130" unbalanced="0"/>
    <cacheHierarchy uniqueName="[Table1].[المسئول عن التسليم]" caption="المسئول عن التسليم" attribute="1" defaultMemberUniqueName="[Table1].[المسئول عن التسليم].[All]" allUniqueName="[Table1].[المسئول عن التسليم].[All]" dimensionUniqueName="[Table1]" displayFolder="" count="0" memberValueDatatype="130" unbalanced="0"/>
    <cacheHierarchy uniqueName="[Table1].[الحالة]" caption="الحالة" attribute="1" defaultMemberUniqueName="[Table1].[الحالة].[All]" allUniqueName="[Table1].[الحالة].[All]" dimensionUniqueName="[Table1]" displayFolder="" count="0" memberValueDatatype="130" unbalanced="0"/>
    <cacheHierarchy uniqueName="[Table1].[كفاءة التسليم]" caption="كفاءة التسليم" attribute="1" defaultMemberUniqueName="[Table1].[كفاءة التسليم].[All]" allUniqueName="[Table1].[كفاءة التسليم].[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اللون المعدن]" caption="Count of اللون المعدن"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اللون المعدن]" caption="Distinct Count of اللون المعدن" measure="1" displayFolder="" measureGroup="Table1" count="0" oneField="1" hidden="1">
      <fieldsUsage count="1">
        <fieldUsage x="0"/>
      </fieldsUsage>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
  <r>
    <s v="خالد عبد القوى "/>
    <x v="0"/>
    <x v="0"/>
    <s v="هومزمارت"/>
    <x v="0"/>
    <s v="سرير"/>
    <x v="0"/>
    <s v="منطبق"/>
    <m/>
    <m/>
    <x v="0"/>
    <s v="أبيض"/>
    <s v="سرير منطبق الحديد ابيض والقماش ابيض "/>
    <n v="10160"/>
    <s v="مسبق الدفع"/>
    <x v="0"/>
    <x v="0"/>
    <x v="0"/>
  </r>
  <r>
    <s v="محمود"/>
    <x v="0"/>
    <x v="1"/>
    <s v="هومزمارت"/>
    <x v="0"/>
    <s v="سرير"/>
    <x v="0"/>
    <s v="منطبق"/>
    <m/>
    <m/>
    <x v="1"/>
    <s v="أسود"/>
    <s v="سرير منطبق اسود والقماش اسود "/>
    <n v="10160"/>
    <s v="كاش"/>
    <x v="0"/>
    <x v="0"/>
    <x v="0"/>
  </r>
  <r>
    <s v="سعيد"/>
    <x v="0"/>
    <x v="1"/>
    <s v="هومزمارت"/>
    <x v="0"/>
    <s v="سرير"/>
    <x v="0"/>
    <s v="دورين"/>
    <s v="كيفنج"/>
    <n v="90"/>
    <x v="2"/>
    <m/>
    <s v="سرير كيفينج مقاس 90 لون ازرق "/>
    <n v="11455"/>
    <s v="كاش"/>
    <x v="1"/>
    <x v="1"/>
    <x v="1"/>
  </r>
  <r>
    <s v="ساندرا"/>
    <x v="0"/>
    <x v="2"/>
    <s v="هومزمارت"/>
    <x v="0"/>
    <s v="تربيزه"/>
    <x v="1"/>
    <s v="بمكتبة"/>
    <m/>
    <m/>
    <x v="1"/>
    <m/>
    <s v="ترابيزه قهوه متحركه "/>
    <n v="8642"/>
    <s v="مسبق الدفع"/>
    <x v="0"/>
    <x v="0"/>
    <x v="0"/>
  </r>
  <r>
    <s v="زينا "/>
    <x v="0"/>
    <x v="1"/>
    <s v="هومزمارت"/>
    <x v="0"/>
    <s v="سرير"/>
    <x v="0"/>
    <s v="دورين"/>
    <s v="نوفال"/>
    <n v="100"/>
    <x v="3"/>
    <m/>
    <s v="سرير نوفال متر رمادى "/>
    <n v="12833"/>
    <s v="كاش"/>
    <x v="1"/>
    <x v="1"/>
    <x v="1"/>
  </r>
  <r>
    <s v="شيك هومز "/>
    <x v="1"/>
    <x v="0"/>
    <s v="شيك هومز "/>
    <x v="1"/>
    <s v="كنبه"/>
    <x v="2"/>
    <s v="4*1"/>
    <m/>
    <m/>
    <x v="3"/>
    <m/>
    <s v="كنبه سرير رمادى "/>
    <n v="14550"/>
    <s v="مسبق الدفع"/>
    <x v="0"/>
    <x v="0"/>
    <x v="2"/>
  </r>
  <r>
    <s v="احمد "/>
    <x v="0"/>
    <x v="3"/>
    <s v="فيس بوك"/>
    <x v="2"/>
    <s v="كنبه"/>
    <x v="2"/>
    <s v="4*1"/>
    <m/>
    <m/>
    <x v="3"/>
    <m/>
    <s v="كنبه سرير رمادى "/>
    <n v="12000"/>
    <s v="كاش"/>
    <x v="0"/>
    <x v="0"/>
    <x v="0"/>
  </r>
  <r>
    <s v="yilmaz"/>
    <x v="0"/>
    <x v="0"/>
    <s v="هومزمارت"/>
    <x v="0"/>
    <s v="سرير"/>
    <x v="0"/>
    <s v="فردى"/>
    <m/>
    <m/>
    <x v="0"/>
    <m/>
    <s v="سرير فردى ابيض "/>
    <n v="7228"/>
    <s v="مسبق الدفع"/>
    <x v="0"/>
    <x v="0"/>
    <x v="2"/>
  </r>
  <r>
    <s v="تاكى "/>
    <x v="1"/>
    <x v="3"/>
    <s v="تاكى"/>
    <x v="3"/>
    <s v="ركنة"/>
    <x v="3"/>
    <s v="ركنة بسرير"/>
    <m/>
    <m/>
    <x v="1"/>
    <m/>
    <s v="ركنه "/>
    <n v="22000"/>
    <s v="كاش"/>
    <x v="2"/>
    <x v="0"/>
    <x v="2"/>
  </r>
  <r>
    <s v="تاكى "/>
    <x v="1"/>
    <x v="3"/>
    <s v="تاكى "/>
    <x v="3"/>
    <s v="كنبه "/>
    <x v="2"/>
    <s v="سحارة"/>
    <m/>
    <m/>
    <x v="1"/>
    <m/>
    <s v="٢ كنبه سحاره بمخدع"/>
    <n v="16000"/>
    <s v="كاش"/>
    <x v="1"/>
    <x v="2"/>
    <x v="1"/>
  </r>
  <r>
    <s v="تاكى "/>
    <x v="1"/>
    <x v="3"/>
    <s v="تاكى"/>
    <x v="3"/>
    <s v="كنبه"/>
    <x v="2"/>
    <s v="سحارة"/>
    <m/>
    <m/>
    <x v="1"/>
    <m/>
    <s v="٢ كنبه سحاره بدون مخدع "/>
    <n v="6000"/>
    <s v="كاش"/>
    <x v="2"/>
    <x v="0"/>
    <x v="2"/>
  </r>
  <r>
    <s v="على رشوان "/>
    <x v="0"/>
    <x v="3"/>
    <s v="هومزمارت"/>
    <x v="0"/>
    <s v="سرير"/>
    <x v="0"/>
    <s v="دورين"/>
    <s v="نوفال"/>
    <n v="80"/>
    <x v="0"/>
    <m/>
    <s v="سرير نوفال ابيض مقاس ٨٠"/>
    <n v="10499"/>
    <s v="كاش"/>
    <x v="0"/>
    <x v="0"/>
    <x v="0"/>
  </r>
  <r>
    <s v="احمد فخرى "/>
    <x v="0"/>
    <x v="0"/>
    <s v="هومزمارت"/>
    <x v="0"/>
    <s v="سرير"/>
    <x v="0"/>
    <s v="فردى"/>
    <s v="نوفال"/>
    <n v="80"/>
    <x v="0"/>
    <m/>
    <s v="سرير فردى خشب موسكى الحديد ابيض مقاس ٨٠"/>
    <n v="7295"/>
    <s v="كاش"/>
    <x v="1"/>
    <x v="2"/>
    <x v="1"/>
  </r>
  <r>
    <s v="لينا "/>
    <x v="0"/>
    <x v="3"/>
    <s v="هومزمارت"/>
    <x v="0"/>
    <s v="تربيزه"/>
    <x v="1"/>
    <s v="2 ميكانزم"/>
    <m/>
    <m/>
    <x v="1"/>
    <m/>
    <s v="ترابيزه قهوه علويه جديده "/>
    <n v="7849"/>
    <s v="مسبق الدفع"/>
    <x v="0"/>
    <x v="1"/>
    <x v="2"/>
  </r>
  <r>
    <s v="فيصل نعيم "/>
    <x v="0"/>
    <x v="3"/>
    <s v="اوسكار ريتن "/>
    <x v="4"/>
    <s v="سرير"/>
    <x v="0"/>
    <s v="دورين"/>
    <s v="كيفنج"/>
    <n v="120"/>
    <x v="1"/>
    <m/>
    <s v="٢ سرير كيفنج ١٢٠ اسود "/>
    <n v="6180"/>
    <s v="كاش"/>
    <x v="2"/>
    <x v="0"/>
    <x v="0"/>
  </r>
  <r>
    <s v="ellho elkafy"/>
    <x v="0"/>
    <x v="3"/>
    <s v="هومزمارت"/>
    <x v="0"/>
    <s v="سرير"/>
    <x v="0"/>
    <s v="دورين"/>
    <s v="كينج"/>
    <n v="80"/>
    <x v="0"/>
    <m/>
    <s v="سرير كينج ابيض مقاس ٨٠ التصميم الجديد "/>
    <n v="11199"/>
    <s v="كاش"/>
    <x v="1"/>
    <x v="2"/>
    <x v="1"/>
  </r>
  <r>
    <s v="احمد "/>
    <x v="0"/>
    <x v="3"/>
    <s v="هومزمارت"/>
    <x v="0"/>
    <s v="سرير"/>
    <x v="0"/>
    <s v="فردى"/>
    <s v="فورجينا"/>
    <n v="80"/>
    <x v="0"/>
    <m/>
    <s v="٤سرير فردى خشب موسكى الحديد ابيض مقاس ٨٠"/>
    <n v="7987"/>
    <s v="مسبق الدفع"/>
    <x v="2"/>
    <x v="0"/>
    <x v="2"/>
  </r>
  <r>
    <s v="تاكى"/>
    <x v="1"/>
    <x v="3"/>
    <s v="تاكى"/>
    <x v="3"/>
    <s v="كرسى"/>
    <x v="4"/>
    <s v="فنسيا"/>
    <m/>
    <m/>
    <x v="1"/>
    <m/>
    <s v="٢ فوتيه فنيسيا "/>
    <n v="9300"/>
    <s v="كاش"/>
    <x v="2"/>
    <x v="0"/>
    <x v="2"/>
  </r>
  <r>
    <s v="صفاء"/>
    <x v="0"/>
    <x v="3"/>
    <s v="هومزمارت"/>
    <x v="0"/>
    <s v="تربيزه"/>
    <x v="1"/>
    <s v="2 ميكانزم"/>
    <m/>
    <m/>
    <x v="1"/>
    <m/>
    <s v="ترابيزه قهوه علويه جديده "/>
    <n v="8849"/>
    <s v="مسبق الدفع"/>
    <x v="1"/>
    <x v="2"/>
    <x v="1"/>
  </r>
  <r>
    <s v="حسن حازم"/>
    <x v="0"/>
    <x v="0"/>
    <s v="هومزمارت"/>
    <x v="0"/>
    <s v="سرير"/>
    <x v="0"/>
    <s v="فردى"/>
    <s v="اسبانى"/>
    <n v="120"/>
    <x v="1"/>
    <m/>
    <s v="سرير اسبانى ابيض ١٢٠"/>
    <n v="10987"/>
    <s v="مسبق الدفع"/>
    <x v="2"/>
    <x v="0"/>
    <x v="2"/>
  </r>
  <r>
    <s v="شيك هومز "/>
    <x v="1"/>
    <x v="0"/>
    <s v="شيك هومز "/>
    <x v="1"/>
    <s v="سرير"/>
    <x v="0"/>
    <s v="دورين"/>
    <s v="كينج"/>
    <n v="100"/>
    <x v="0"/>
    <m/>
    <s v="سرير كينج ابيض "/>
    <n v="9208"/>
    <s v="كاش"/>
    <x v="2"/>
    <x v="0"/>
    <x v="2"/>
  </r>
  <r>
    <s v="شيك هومز "/>
    <x v="1"/>
    <x v="0"/>
    <s v="شيك هومز"/>
    <x v="1"/>
    <s v="سرير"/>
    <x v="0"/>
    <s v="دورين"/>
    <s v="كينج"/>
    <n v="100"/>
    <x v="1"/>
    <m/>
    <s v="سرير كينج اسود "/>
    <n v="9208"/>
    <s v="كاش"/>
    <x v="2"/>
    <x v="0"/>
    <x v="2"/>
  </r>
  <r>
    <s v="اوسكار راتن"/>
    <x v="1"/>
    <x v="4"/>
    <s v="اوسكار ريتن "/>
    <x v="4"/>
    <s v="سرير"/>
    <x v="0"/>
    <s v="فردى"/>
    <s v="فورجينا"/>
    <n v="120"/>
    <x v="1"/>
    <m/>
    <s v="٢ سريرفورجينا خشب موسكى ابيض مقاس ١٢٠"/>
    <n v="4020"/>
    <s v="حساب شركه"/>
    <x v="2"/>
    <x v="0"/>
    <x v="2"/>
  </r>
  <r>
    <s v="اوسكار راتن"/>
    <x v="1"/>
    <x v="4"/>
    <s v="اوسكار ريتن "/>
    <x v="4"/>
    <s v="سرير"/>
    <x v="0"/>
    <s v="فردى"/>
    <s v="ارفيل"/>
    <n v="120"/>
    <x v="1"/>
    <m/>
    <s v="٢ سرير ارفيل ١٢٠ اسود "/>
    <n v="4020"/>
    <s v="مسبق الدفع "/>
    <x v="2"/>
    <x v="0"/>
    <x v="2"/>
  </r>
  <r>
    <s v="صفاء الحكيم"/>
    <x v="0"/>
    <x v="5"/>
    <s v="هومزمارت"/>
    <x v="0"/>
    <s v="سرير"/>
    <x v="0"/>
    <s v="منطبق"/>
    <m/>
    <m/>
    <x v="1"/>
    <s v="أسود"/>
    <s v="سرير منطببق اسود وقماش اسود"/>
    <n v="9399"/>
    <s v="مسبق الدفع "/>
    <x v="1"/>
    <x v="1"/>
    <x v="1"/>
  </r>
  <r>
    <s v="يوسف شناوى"/>
    <x v="0"/>
    <x v="1"/>
    <s v="هومزمارت"/>
    <x v="0"/>
    <s v="تربيزه"/>
    <x v="1"/>
    <s v="رف سحاب"/>
    <m/>
    <m/>
    <x v="1"/>
    <m/>
    <s v="ترابيزه قهوه علويه برف سحاب "/>
    <n v="8349"/>
    <s v="مسبق الدفع "/>
    <x v="0"/>
    <x v="0"/>
    <x v="2"/>
  </r>
  <r>
    <s v="حاتم العيسوي "/>
    <x v="0"/>
    <x v="0"/>
    <s v="هومزمارت"/>
    <x v="0"/>
    <s v="سرير"/>
    <x v="0"/>
    <s v="منطبق"/>
    <m/>
    <m/>
    <x v="1"/>
    <s v="أسود"/>
    <s v="سرير منطبق اسود حديد وقماش"/>
    <n v="9399"/>
    <s v="مسبق الدفع"/>
    <x v="0"/>
    <x v="0"/>
    <x v="2"/>
  </r>
  <r>
    <s v="رنا "/>
    <x v="0"/>
    <x v="3"/>
    <s v="هومزمارت"/>
    <x v="0"/>
    <s v="تربيزه"/>
    <x v="1"/>
    <s v="2 ميكانزم"/>
    <m/>
    <m/>
    <x v="1"/>
    <m/>
    <s v="ترابيزه قهوه علويه جديده "/>
    <n v="7849"/>
    <s v="كاش"/>
    <x v="0"/>
    <x v="0"/>
    <x v="0"/>
  </r>
  <r>
    <s v="عبير نور الدين"/>
    <x v="0"/>
    <x v="0"/>
    <s v="فيس بوك"/>
    <x v="2"/>
    <s v="سرير"/>
    <x v="0"/>
    <s v="ثلاثه ادوار"/>
    <s v="كيفنج"/>
    <n v="100"/>
    <x v="1"/>
    <m/>
    <s v="سرير ٣ ادورا اسود مقاس ١٠٠ "/>
    <n v="9450"/>
    <s v="كاش"/>
    <x v="1"/>
    <x v="2"/>
    <x v="1"/>
  </r>
  <r>
    <s v="اسراء ابو العنين "/>
    <x v="0"/>
    <x v="3"/>
    <s v="هومزمارت"/>
    <x v="0"/>
    <s v="سرير"/>
    <x v="0"/>
    <s v="فردى"/>
    <s v="اسبانى"/>
    <n v="120"/>
    <x v="1"/>
    <m/>
    <s v="سرير اسبانى اسود مقاس ١٢٠"/>
    <n v="7460"/>
    <s v="مسبق الدفع"/>
    <x v="2"/>
    <x v="0"/>
    <x v="2"/>
  </r>
  <r>
    <s v="وائل صادق"/>
    <x v="0"/>
    <x v="3"/>
    <s v="هومزمارت"/>
    <x v="0"/>
    <s v="سرير"/>
    <x v="0"/>
    <s v="فردى"/>
    <s v="كوين "/>
    <n v="140"/>
    <x v="4"/>
    <s v="رمادى"/>
    <s v="سرير كوين مقاس ١٤٠ دهبي ورمادى "/>
    <n v="9528"/>
    <s v="مسبق الدفع"/>
    <x v="2"/>
    <x v="0"/>
    <x v="2"/>
  </r>
  <r>
    <s v="حسن مغرب "/>
    <x v="0"/>
    <x v="0"/>
    <s v="هومزمارت"/>
    <x v="0"/>
    <s v="سرير"/>
    <x v="0"/>
    <s v="دورين"/>
    <s v="كيفنج"/>
    <n v="120"/>
    <x v="3"/>
    <m/>
    <s v="سرير كيفنج ١٢٠ رمادى "/>
    <n v="12999"/>
    <s v="مسبق الدفع"/>
    <x v="2"/>
    <x v="0"/>
    <x v="2"/>
  </r>
  <r>
    <s v="على السيد "/>
    <x v="0"/>
    <x v="3"/>
    <s v="هومزمارت"/>
    <x v="0"/>
    <s v="سرير"/>
    <x v="0"/>
    <s v="دورين"/>
    <s v="نوفال"/>
    <n v="90"/>
    <x v="1"/>
    <m/>
    <s v="سرير نوفال  ٩٠ اسود "/>
    <n v="5999"/>
    <s v="مسبق الدفع"/>
    <x v="1"/>
    <x v="1"/>
    <x v="1"/>
  </r>
  <r>
    <s v="هشام بسيونى "/>
    <x v="0"/>
    <x v="3"/>
    <s v="هومزمارت"/>
    <x v="0"/>
    <s v="سرير"/>
    <x v="0"/>
    <s v="دورين"/>
    <s v="كيفنج"/>
    <n v="100"/>
    <x v="1"/>
    <m/>
    <s v="            ٢ سرير كيفنج ١٠٠ اسود "/>
    <n v="11949"/>
    <s v="كاش"/>
    <x v="2"/>
    <x v="0"/>
    <x v="2"/>
  </r>
  <r>
    <s v="هشام بسيونى "/>
    <x v="0"/>
    <x v="3"/>
    <s v="هومزمارت"/>
    <x v="0"/>
    <s v="سرير"/>
    <x v="0"/>
    <s v="دورين"/>
    <s v="كيفنج"/>
    <n v="100"/>
    <x v="1"/>
    <m/>
    <s v="            ٢ سرير كيفنج ١٠٠ اسود "/>
    <n v="11949"/>
    <s v="كاش"/>
    <x v="2"/>
    <x v="0"/>
    <x v="2"/>
  </r>
  <r>
    <s v="احمد "/>
    <x v="0"/>
    <x v="3"/>
    <s v="هومزمارت"/>
    <x v="0"/>
    <s v="سرير"/>
    <x v="0"/>
    <s v="ثلاثه ادوار"/>
    <s v="كيفنج"/>
    <n v="80"/>
    <x v="0"/>
    <m/>
    <s v="سرير ٣ ادوار ابيض مقاس ٨٠ ابيض "/>
    <n v="16599"/>
    <s v="مسبق الدفع"/>
    <x v="2"/>
    <x v="0"/>
    <x v="2"/>
  </r>
  <r>
    <s v="ساره وجيه "/>
    <x v="0"/>
    <x v="2"/>
    <s v="هومزمارت"/>
    <x v="0"/>
    <s v="سرير"/>
    <x v="0"/>
    <s v="دورين"/>
    <s v="كيفنج"/>
    <n v="80"/>
    <x v="0"/>
    <m/>
    <s v="سرير كيفنج دورين مقاس ٨٠ ابيض "/>
    <n v="10999"/>
    <s v="مسبق الدفع"/>
    <x v="0"/>
    <x v="0"/>
    <x v="2"/>
  </r>
  <r>
    <s v="مها "/>
    <x v="0"/>
    <x v="5"/>
    <s v="هومزمارت"/>
    <x v="0"/>
    <s v="سرير"/>
    <x v="0"/>
    <s v="دورين"/>
    <s v="كيفنج"/>
    <n v="140"/>
    <x v="2"/>
    <m/>
    <s v="سرير استيل ازرق مقاس ١٤٠"/>
    <n v="13099"/>
    <s v="مسبق الدفع"/>
    <x v="0"/>
    <x v="0"/>
    <x v="2"/>
  </r>
  <r>
    <s v="بسام الشربينى "/>
    <x v="0"/>
    <x v="0"/>
    <s v="هومزمارت"/>
    <x v="0"/>
    <s v="سرير"/>
    <x v="0"/>
    <s v="دورين"/>
    <s v="كينج"/>
    <n v="120"/>
    <x v="5"/>
    <m/>
    <s v="سرير كينج ١٢٠ بنفسجى "/>
    <n v="13849"/>
    <s v="مسبق الدفع"/>
    <x v="2"/>
    <x v="0"/>
    <x v="2"/>
  </r>
  <r>
    <s v="هبه عبد الفتاح "/>
    <x v="0"/>
    <x v="3"/>
    <s v="هومزمارت"/>
    <x v="0"/>
    <s v="كنبه"/>
    <x v="2"/>
    <s v="4*1"/>
    <m/>
    <m/>
    <x v="1"/>
    <s v="رمادى"/>
    <s v="كنبه سرير ٤ حركه "/>
    <n v="21999"/>
    <s v="مسبق الدفع"/>
    <x v="2"/>
    <x v="0"/>
    <x v="0"/>
  </r>
  <r>
    <s v="اسراء ابراهيم "/>
    <x v="0"/>
    <x v="0"/>
    <s v="هومزمارت"/>
    <x v="0"/>
    <s v="سرير"/>
    <x v="0"/>
    <s v="دورين"/>
    <s v="كيفنج"/>
    <n v="80"/>
    <x v="0"/>
    <m/>
    <s v="سرير كيفنج دورين مقاس ٨٠ ابيض "/>
    <n v="10999"/>
    <s v="مسبق الدفع"/>
    <x v="2"/>
    <x v="0"/>
    <x v="2"/>
  </r>
  <r>
    <s v="طارق كمال "/>
    <x v="0"/>
    <x v="3"/>
    <s v="هومزمارت"/>
    <x v="0"/>
    <s v="سرير"/>
    <x v="0"/>
    <s v="ثلاثه ادوار"/>
    <s v="كيفنج"/>
    <n v="90"/>
    <x v="1"/>
    <m/>
    <s v="سرير ٣ ادوار اسود مقاس ٩٠ "/>
    <n v="17249"/>
    <s v="مسبق الدفع"/>
    <x v="2"/>
    <x v="0"/>
    <x v="2"/>
  </r>
  <r>
    <s v="ديفد بهجت "/>
    <x v="0"/>
    <x v="0"/>
    <s v="هومزمارت"/>
    <x v="0"/>
    <s v="تربيزه"/>
    <x v="1"/>
    <s v="2 ميكانزم"/>
    <m/>
    <m/>
    <x v="1"/>
    <m/>
    <s v="تربيزه قهوه ٢ رافع"/>
    <n v="8349"/>
    <s v="مسبق الدفع"/>
    <x v="2"/>
    <x v="0"/>
    <x v="2"/>
  </r>
  <r>
    <s v="اياد "/>
    <x v="0"/>
    <x v="3"/>
    <s v="هومزمارت"/>
    <x v="0"/>
    <s v="تربيزه"/>
    <x v="1"/>
    <s v="بمكتبة"/>
    <m/>
    <m/>
    <x v="1"/>
    <m/>
    <s v="ترابيزه قهوه متحركه "/>
    <n v="7849"/>
    <s v="مسبق الدفع"/>
    <x v="2"/>
    <x v="0"/>
    <x v="2"/>
  </r>
  <r>
    <s v="ميار خورشد"/>
    <x v="0"/>
    <x v="0"/>
    <s v="هومزمارت"/>
    <x v="0"/>
    <s v="سرير"/>
    <x v="0"/>
    <s v="منطبق"/>
    <m/>
    <m/>
    <x v="1"/>
    <s v="أسود"/>
    <s v="سرير منطبق اسود حديد ومعدن "/>
    <n v="9399"/>
    <s v="مسبق الدفع "/>
    <x v="2"/>
    <x v="0"/>
    <x v="0"/>
  </r>
  <r>
    <s v="عبد الله سيد "/>
    <x v="0"/>
    <x v="0"/>
    <s v="هومزمارت"/>
    <x v="0"/>
    <s v="سرير"/>
    <x v="0"/>
    <s v="فردى"/>
    <s v="اسبانى"/>
    <n v="140"/>
    <x v="1"/>
    <m/>
    <s v="سرير اسبانى  ١٤٠ اسود وبيج "/>
    <n v="11817"/>
    <s v="مسبق الدفع "/>
    <x v="2"/>
    <x v="0"/>
    <x v="0"/>
  </r>
  <r>
    <s v="كينج سونا "/>
    <x v="0"/>
    <x v="3"/>
    <s v="هومزمارت"/>
    <x v="0"/>
    <s v="تربيزه"/>
    <x v="1"/>
    <s v="رف سحاب"/>
    <m/>
    <m/>
    <x v="1"/>
    <m/>
    <s v="تربيزه قهوه مرتفعه برف سحاب "/>
    <n v="8349"/>
    <s v="مسبق الدفع "/>
    <x v="2"/>
    <x v="0"/>
    <x v="0"/>
  </r>
  <r>
    <s v="احمد خالد "/>
    <x v="0"/>
    <x v="3"/>
    <s v="هومزمارت"/>
    <x v="0"/>
    <s v="سرير"/>
    <x v="0"/>
    <s v="فردى"/>
    <s v="فورجينا"/>
    <n v="120"/>
    <x v="0"/>
    <m/>
    <s v=" ٢. سرير فورجينا ابيض مقاس ١٢٠"/>
    <n v="17886"/>
    <s v="مسبق الدفع "/>
    <x v="1"/>
    <x v="2"/>
    <x v="1"/>
  </r>
  <r>
    <s v="ساره"/>
    <x v="0"/>
    <x v="3"/>
    <s v="هومزمارت"/>
    <x v="0"/>
    <s v="سرير"/>
    <x v="0"/>
    <s v="فردى"/>
    <s v="اسبانى"/>
    <n v="120"/>
    <x v="0"/>
    <m/>
    <s v="   ٢. سرير اسبانى ابيض ١٢٠"/>
    <n v="10987"/>
    <s v="مسبق الدفع"/>
    <x v="2"/>
    <x v="0"/>
    <x v="0"/>
  </r>
  <r>
    <s v="ساره"/>
    <x v="0"/>
    <x v="3"/>
    <s v="هومزمارت"/>
    <x v="0"/>
    <s v="سرير"/>
    <x v="0"/>
    <s v="فردى"/>
    <s v="اسبانى"/>
    <n v="120"/>
    <x v="0"/>
    <m/>
    <s v="   ٢. سرير اسبانى ابيض ١٢٠"/>
    <n v="10987"/>
    <s v="مسبق الدفع"/>
    <x v="2"/>
    <x v="0"/>
    <x v="0"/>
  </r>
  <r>
    <s v="احمد ايمن "/>
    <x v="0"/>
    <x v="3"/>
    <s v="هومزمارت"/>
    <x v="0"/>
    <s v="تربيزه"/>
    <x v="1"/>
    <s v="2 ميكانزم"/>
    <m/>
    <m/>
    <x v="1"/>
    <m/>
    <s v="ترابيزه قهوه علويه جديده "/>
    <n v="10319"/>
    <s v="مسبق الدفع"/>
    <x v="2"/>
    <x v="0"/>
    <x v="0"/>
  </r>
  <r>
    <s v="مصطفي غنيم "/>
    <x v="0"/>
    <x v="6"/>
    <s v="هومزمارت"/>
    <x v="0"/>
    <s v="سرير"/>
    <x v="0"/>
    <s v="دورين"/>
    <s v="كيفنج"/>
    <n v="120"/>
    <x v="3"/>
    <m/>
    <s v="سرير كيفنج دورين مقاس ١٢٠ رمادى "/>
    <n v="12999"/>
    <s v="مسبق الدفع "/>
    <x v="0"/>
    <x v="0"/>
    <x v="0"/>
  </r>
  <r>
    <s v="حسام عبدون"/>
    <x v="0"/>
    <x v="2"/>
    <s v="هومزمارت"/>
    <x v="0"/>
    <s v="كنبه"/>
    <x v="2"/>
    <s v="4*1"/>
    <m/>
    <m/>
    <x v="1"/>
    <s v="رمادى"/>
    <s v="كنبه سرير ٤ حركه "/>
    <n v="21999"/>
    <s v="مسبق الدفع"/>
    <x v="1"/>
    <x v="2"/>
    <x v="1"/>
  </r>
  <r>
    <s v="رامى "/>
    <x v="0"/>
    <x v="3"/>
    <s v="هومزمارت"/>
    <x v="0"/>
    <s v="سرير"/>
    <x v="0"/>
    <s v="دورين"/>
    <s v="نوفال"/>
    <n v="100"/>
    <x v="3"/>
    <m/>
    <s v="سرير نوفال ١٠٠ رمادى "/>
    <n v="12399"/>
    <s v="مسبق الدفع"/>
    <x v="0"/>
    <x v="0"/>
    <x v="0"/>
  </r>
  <r>
    <s v="رحاب"/>
    <x v="0"/>
    <x v="3"/>
    <s v="هومزمارت"/>
    <x v="0"/>
    <s v="كنبه"/>
    <x v="2"/>
    <s v="4*1"/>
    <m/>
    <m/>
    <x v="1"/>
    <s v="رمادى"/>
    <s v="كنبه سرير ٤ حركه "/>
    <n v="21999"/>
    <s v="مسبق الدفع"/>
    <x v="2"/>
    <x v="0"/>
    <x v="0"/>
  </r>
  <r>
    <s v="فؤاد المنسي "/>
    <x v="0"/>
    <x v="3"/>
    <s v="هومزمارت"/>
    <x v="0"/>
    <s v="سرير"/>
    <x v="0"/>
    <s v="دورين"/>
    <s v="نوفال"/>
    <n v="80"/>
    <x v="0"/>
    <m/>
    <s v="سرير نوفال مقاس ٨٠ ابيض "/>
    <n v="10999"/>
    <s v="مسبق الدفع "/>
    <x v="2"/>
    <x v="0"/>
    <x v="0"/>
  </r>
  <r>
    <s v="mohannad"/>
    <x v="0"/>
    <x v="3"/>
    <s v="هومزمارت"/>
    <x v="0"/>
    <s v="سرير"/>
    <x v="0"/>
    <s v="دورين"/>
    <s v="كيفنج"/>
    <n v="80"/>
    <x v="1"/>
    <m/>
    <m/>
    <n v="10999"/>
    <s v="مسبق الدفع "/>
    <x v="2"/>
    <x v="0"/>
    <x v="0"/>
  </r>
  <r>
    <s v="mohannad"/>
    <x v="0"/>
    <x v="3"/>
    <s v="هومزمارت"/>
    <x v="0"/>
    <s v="سرير"/>
    <x v="0"/>
    <s v="دورين"/>
    <s v="كيفنج"/>
    <n v="80"/>
    <x v="1"/>
    <m/>
    <m/>
    <n v="10999"/>
    <s v="مسبق الدفع "/>
    <x v="2"/>
    <x v="0"/>
    <x v="0"/>
  </r>
  <r>
    <s v="Mohamed Ayman"/>
    <x v="0"/>
    <x v="3"/>
    <s v="هومزمارت"/>
    <x v="0"/>
    <s v="كنبه"/>
    <x v="2"/>
    <s v="4*1"/>
    <m/>
    <m/>
    <x v="1"/>
    <s v="رمادى"/>
    <m/>
    <n v="21999"/>
    <s v="مسبق الدفع "/>
    <x v="2"/>
    <x v="0"/>
    <x v="0"/>
  </r>
  <r>
    <s v="اسامه"/>
    <x v="0"/>
    <x v="5"/>
    <s v="هومزمارت"/>
    <x v="0"/>
    <s v="تربيزه"/>
    <x v="1"/>
    <s v="2 ميكانزم"/>
    <m/>
    <m/>
    <x v="1"/>
    <m/>
    <m/>
    <n v="7849"/>
    <s v="كاش"/>
    <x v="0"/>
    <x v="0"/>
    <x v="2"/>
  </r>
  <r>
    <s v="اوسكار راتن"/>
    <x v="1"/>
    <x v="4"/>
    <s v="اوسكار ريتن "/>
    <x v="4"/>
    <s v="سرير"/>
    <x v="0"/>
    <s v="دورين"/>
    <s v="كيفنج"/>
    <n v="80"/>
    <x v="1"/>
    <m/>
    <m/>
    <n v="5074"/>
    <s v="حساب شركه"/>
    <x v="2"/>
    <x v="0"/>
    <x v="2"/>
  </r>
  <r>
    <s v="تاكى "/>
    <x v="1"/>
    <x v="3"/>
    <s v="تاكى"/>
    <x v="3"/>
    <s v="سرير"/>
    <x v="0"/>
    <s v="دورين"/>
    <s v="كينج"/>
    <n v="100"/>
    <x v="6"/>
    <m/>
    <m/>
    <n v="6250"/>
    <s v="حساب شركه"/>
    <x v="2"/>
    <x v="0"/>
    <x v="2"/>
  </r>
  <r>
    <s v="تاكى "/>
    <x v="1"/>
    <x v="3"/>
    <s v="تاكى"/>
    <x v="3"/>
    <s v="سرير"/>
    <x v="0"/>
    <s v="دورين"/>
    <s v="كينج"/>
    <n v="100"/>
    <x v="6"/>
    <m/>
    <m/>
    <n v="6250"/>
    <s v="حساب شركه"/>
    <x v="2"/>
    <x v="0"/>
    <x v="2"/>
  </r>
  <r>
    <s v="ولاء بدوى"/>
    <x v="0"/>
    <x v="3"/>
    <s v="هومزمارت"/>
    <x v="0"/>
    <s v="سرير"/>
    <x v="0"/>
    <s v="فردى"/>
    <s v="فورجينا"/>
    <n v="120"/>
    <x v="1"/>
    <m/>
    <m/>
    <n v="8943"/>
    <s v="كاش"/>
    <x v="2"/>
    <x v="0"/>
    <x v="0"/>
  </r>
  <r>
    <s v="عبد الرحمن يسري"/>
    <x v="0"/>
    <x v="0"/>
    <s v="هومزمارت"/>
    <x v="0"/>
    <s v="تربيزه"/>
    <x v="1"/>
    <s v="رف سحاب"/>
    <m/>
    <m/>
    <x v="1"/>
    <m/>
    <m/>
    <n v="8349"/>
    <s v="كاش"/>
    <x v="1"/>
    <x v="2"/>
    <x v="1"/>
  </r>
  <r>
    <s v="شيك هومز "/>
    <x v="1"/>
    <x v="3"/>
    <s v="شيك هومز"/>
    <x v="1"/>
    <s v="كنبه"/>
    <x v="2"/>
    <s v="4*1"/>
    <m/>
    <m/>
    <x v="1"/>
    <s v="نبيتى "/>
    <m/>
    <n v="14950"/>
    <s v="مسبق الدفع"/>
    <x v="2"/>
    <x v="0"/>
    <x v="0"/>
  </r>
  <r>
    <s v="شيك هومز "/>
    <x v="1"/>
    <x v="0"/>
    <s v="شيك هومز"/>
    <x v="1"/>
    <s v="سرير"/>
    <x v="0"/>
    <s v="دورين"/>
    <s v="كينج"/>
    <n v="100"/>
    <x v="1"/>
    <m/>
    <m/>
    <n v="9208"/>
    <s v="كاش"/>
    <x v="1"/>
    <x v="2"/>
    <x v="1"/>
  </r>
  <r>
    <s v="شيك هومز "/>
    <x v="1"/>
    <x v="0"/>
    <s v="شيك هومز"/>
    <x v="1"/>
    <s v="سرير"/>
    <x v="0"/>
    <s v="فردى"/>
    <s v="اسبانى"/>
    <n v="120"/>
    <x v="1"/>
    <m/>
    <m/>
    <n v="7433"/>
    <s v="مسبق الدفع"/>
    <x v="2"/>
    <x v="0"/>
    <x v="2"/>
  </r>
  <r>
    <s v="اوسكار راتن"/>
    <x v="1"/>
    <x v="4"/>
    <s v="اوسكار ريتن "/>
    <x v="4"/>
    <s v="سرير"/>
    <x v="0"/>
    <s v="فردى"/>
    <s v="فورجينا"/>
    <n v="120"/>
    <x v="1"/>
    <m/>
    <m/>
    <n v="4020"/>
    <s v="حساب شركه"/>
    <x v="2"/>
    <x v="0"/>
    <x v="0"/>
  </r>
  <r>
    <s v="الحج محمد السويس"/>
    <x v="0"/>
    <x v="5"/>
    <s v="هومزمارت"/>
    <x v="0"/>
    <s v="سرير"/>
    <x v="0"/>
    <s v="دورين"/>
    <s v="فانتستيك"/>
    <n v="100"/>
    <x v="7"/>
    <m/>
    <m/>
    <n v="8544.9054400000005"/>
    <s v="كاش"/>
    <x v="3"/>
    <x v="0"/>
    <x v="0"/>
  </r>
  <r>
    <s v="الحج محمد السويس"/>
    <x v="0"/>
    <x v="5"/>
    <s v="هومزمارت"/>
    <x v="0"/>
    <s v="سرير"/>
    <x v="0"/>
    <s v="منطبق"/>
    <m/>
    <m/>
    <x v="1"/>
    <s v="بيج"/>
    <m/>
    <n v="4600"/>
    <s v="كاش"/>
    <x v="3"/>
    <x v="0"/>
    <x v="0"/>
  </r>
  <r>
    <s v="الحج محمد السويس"/>
    <x v="0"/>
    <x v="5"/>
    <s v="هومزمارت"/>
    <x v="0"/>
    <s v="كنبه"/>
    <x v="2"/>
    <s v="فنسيا"/>
    <m/>
    <m/>
    <x v="1"/>
    <s v="رصاصي مشجر"/>
    <m/>
    <n v="10000"/>
    <s v="كاش"/>
    <x v="3"/>
    <x v="0"/>
    <x v="0"/>
  </r>
  <r>
    <s v="الحج محمد السويس"/>
    <x v="0"/>
    <x v="5"/>
    <s v="هومزمارت"/>
    <x v="0"/>
    <s v="شيزلونج"/>
    <x v="5"/>
    <m/>
    <m/>
    <m/>
    <x v="1"/>
    <s v="نبيتى "/>
    <m/>
    <n v="10396"/>
    <s v="كاش"/>
    <x v="3"/>
    <x v="0"/>
    <x v="0"/>
  </r>
  <r>
    <s v="عمرو الأسود"/>
    <x v="0"/>
    <x v="0"/>
    <s v="هومزمارت"/>
    <x v="0"/>
    <s v="سرير"/>
    <x v="0"/>
    <s v="منطبق"/>
    <m/>
    <m/>
    <x v="1"/>
    <s v="أسود"/>
    <m/>
    <n v="8899"/>
    <s v="كاش"/>
    <x v="1"/>
    <x v="1"/>
    <x v="1"/>
  </r>
  <r>
    <s v="شيك هومز "/>
    <x v="1"/>
    <x v="0"/>
    <s v="شيك هومز "/>
    <x v="1"/>
    <s v="كنبه"/>
    <x v="2"/>
    <s v="4*1"/>
    <m/>
    <m/>
    <x v="1"/>
    <s v="بترولى "/>
    <m/>
    <n v="14550"/>
    <s v="مسبق الدفع"/>
    <x v="2"/>
    <x v="0"/>
    <x v="2"/>
  </r>
  <r>
    <s v="شيك هومز "/>
    <x v="1"/>
    <x v="0"/>
    <s v="شيك هومز"/>
    <x v="1"/>
    <s v="كنبه"/>
    <x v="2"/>
    <s v="4*1"/>
    <m/>
    <m/>
    <x v="1"/>
    <s v="بترولى "/>
    <m/>
    <n v="14550"/>
    <s v="مسبق الدفع"/>
    <x v="2"/>
    <x v="0"/>
    <x v="0"/>
  </r>
  <r>
    <s v="شيك هومز "/>
    <x v="1"/>
    <x v="0"/>
    <s v="شيك هومز "/>
    <x v="1"/>
    <s v="كنبه "/>
    <x v="2"/>
    <s v="4*1"/>
    <m/>
    <m/>
    <x v="1"/>
    <s v="نبيتى "/>
    <m/>
    <n v="14550"/>
    <s v="كاش"/>
    <x v="2"/>
    <x v="0"/>
    <x v="2"/>
  </r>
  <r>
    <s v="keira"/>
    <x v="0"/>
    <x v="3"/>
    <s v="هومزمارت"/>
    <x v="0"/>
    <s v="سرير"/>
    <x v="0"/>
    <s v="دورين"/>
    <s v="نوفال "/>
    <n v="100"/>
    <x v="8"/>
    <m/>
    <m/>
    <n v="12899"/>
    <s v="كاش"/>
    <x v="2"/>
    <x v="0"/>
    <x v="0"/>
  </r>
  <r>
    <s v="tarek"/>
    <x v="0"/>
    <x v="3"/>
    <s v="هومزمارت"/>
    <x v="0"/>
    <s v="سرير"/>
    <x v="0"/>
    <s v="دورين"/>
    <s v="كيفنج"/>
    <n v="80"/>
    <x v="1"/>
    <m/>
    <m/>
    <n v="10499"/>
    <s v="مسبق الدفع"/>
    <x v="2"/>
    <x v="0"/>
    <x v="0"/>
  </r>
  <r>
    <s v="reem"/>
    <x v="0"/>
    <x v="1"/>
    <s v="هومزمارت"/>
    <x v="0"/>
    <s v="سرير"/>
    <x v="0"/>
    <s v="دورين"/>
    <s v="نوفال"/>
    <n v="100"/>
    <x v="8"/>
    <m/>
    <m/>
    <n v="12899"/>
    <s v="مسبق الدفع"/>
    <x v="0"/>
    <x v="0"/>
    <x v="0"/>
  </r>
  <r>
    <s v="هشام سامى"/>
    <x v="0"/>
    <x v="3"/>
    <s v="منزلى "/>
    <x v="5"/>
    <s v="سرير"/>
    <x v="0"/>
    <s v="فردى"/>
    <s v="بلحه"/>
    <n v="140"/>
    <x v="9"/>
    <s v="خشب بنى فاتح"/>
    <m/>
    <n v="5135"/>
    <s v="مسبق الدفع"/>
    <x v="2"/>
    <x v="0"/>
    <x v="0"/>
  </r>
  <r>
    <s v="شيك هومز "/>
    <x v="1"/>
    <x v="0"/>
    <s v="شيك هومز"/>
    <x v="1"/>
    <s v="سرير"/>
    <x v="0"/>
    <s v="دورين"/>
    <s v="فانتستيك"/>
    <n v="100"/>
    <x v="10"/>
    <m/>
    <m/>
    <n v="12777.5"/>
    <s v="كاش"/>
    <x v="2"/>
    <x v="0"/>
    <x v="2"/>
  </r>
  <r>
    <s v="اوسكار راتن"/>
    <x v="1"/>
    <x v="3"/>
    <s v="اوسكار ريتن "/>
    <x v="4"/>
    <s v="سرير"/>
    <x v="0"/>
    <s v="دورين"/>
    <s v="فانتستيك"/>
    <n v="100"/>
    <x v="10"/>
    <m/>
    <m/>
    <n v="8544.91"/>
    <s v="حساب شركه"/>
    <x v="1"/>
    <x v="2"/>
    <x v="1"/>
  </r>
  <r>
    <s v="فاطمه محمد"/>
    <x v="0"/>
    <x v="0"/>
    <s v="هومزمارت"/>
    <x v="0"/>
    <s v="سرير"/>
    <x v="0"/>
    <s v="فردى"/>
    <s v="فورجينا"/>
    <n v="120"/>
    <x v="1"/>
    <m/>
    <m/>
    <n v="8943"/>
    <s v="كاش"/>
    <x v="2"/>
    <x v="0"/>
    <x v="2"/>
  </r>
  <r>
    <s v="شيك هومز "/>
    <x v="1"/>
    <x v="0"/>
    <s v="شيك هومز"/>
    <x v="1"/>
    <s v="كنبه"/>
    <x v="2"/>
    <s v="4*1"/>
    <m/>
    <m/>
    <x v="1"/>
    <m/>
    <m/>
    <n v="15516"/>
    <s v="مسبق الدفع"/>
    <x v="2"/>
    <x v="0"/>
    <x v="0"/>
  </r>
  <r>
    <s v="شيك هومز "/>
    <x v="1"/>
    <x v="0"/>
    <s v="شيك هومز"/>
    <x v="1"/>
    <s v="سرير"/>
    <x v="0"/>
    <s v="دورين"/>
    <s v="كينج"/>
    <n v="100"/>
    <x v="1"/>
    <m/>
    <m/>
    <n v="10045"/>
    <s v="كاش"/>
    <x v="1"/>
    <x v="2"/>
    <x v="1"/>
  </r>
  <r>
    <s v="ساره"/>
    <x v="0"/>
    <x v="0"/>
    <s v="هومزمارت"/>
    <x v="0"/>
    <s v="سرير"/>
    <x v="0"/>
    <s v="دورين"/>
    <s v="كينج"/>
    <n v="90"/>
    <x v="1"/>
    <m/>
    <m/>
    <n v="11649"/>
    <s v="كاش"/>
    <x v="2"/>
    <x v="0"/>
    <x v="2"/>
  </r>
  <r>
    <s v="بولا هومزمارت"/>
    <x v="1"/>
    <x v="3"/>
    <s v="شيك هومز"/>
    <x v="1"/>
    <s v="سرير"/>
    <x v="0"/>
    <s v="فردى"/>
    <s v="اسبانى"/>
    <n v="100"/>
    <x v="1"/>
    <m/>
    <m/>
    <n v="4800"/>
    <s v="كاش"/>
    <x v="2"/>
    <x v="0"/>
    <x v="2"/>
  </r>
  <r>
    <s v="بولا هومزمارت"/>
    <x v="1"/>
    <x v="3"/>
    <s v="شيك هومز"/>
    <x v="1"/>
    <s v="سرير"/>
    <x v="0"/>
    <s v="فردى"/>
    <s v="اسبانى"/>
    <n v="120"/>
    <x v="1"/>
    <m/>
    <m/>
    <n v="5000"/>
    <s v="كاش"/>
    <x v="2"/>
    <x v="0"/>
    <x v="2"/>
  </r>
  <r>
    <s v="محمد شكرى "/>
    <x v="0"/>
    <x v="3"/>
    <s v="هومزمارت"/>
    <x v="0"/>
    <s v="سرير"/>
    <x v="0"/>
    <s v="دورين"/>
    <s v="كيفنج"/>
    <n v="80"/>
    <x v="1"/>
    <m/>
    <m/>
    <n v="12099"/>
    <s v="مسبق الدفع"/>
    <x v="2"/>
    <x v="0"/>
    <x v="2"/>
  </r>
  <r>
    <s v="شيك هومز"/>
    <x v="1"/>
    <x v="0"/>
    <s v="شيك هومز"/>
    <x v="1"/>
    <s v="كنبه"/>
    <x v="2"/>
    <s v="4*1"/>
    <s v="ارينا"/>
    <m/>
    <x v="1"/>
    <s v="بترولى"/>
    <m/>
    <n v="15872"/>
    <s v="مسبق الدفع"/>
    <x v="2"/>
    <x v="0"/>
    <x v="0"/>
  </r>
  <r>
    <s v="منزلى"/>
    <x v="0"/>
    <x v="3"/>
    <s v="منزلى"/>
    <x v="5"/>
    <s v="سرير"/>
    <x v="0"/>
    <s v="فردى"/>
    <s v="فورجينا"/>
    <n v="120"/>
    <x v="1"/>
    <m/>
    <m/>
    <n v="4520"/>
    <s v="حساب شركه"/>
    <x v="2"/>
    <x v="0"/>
    <x v="0"/>
  </r>
  <r>
    <s v="اوسكار راتن"/>
    <x v="1"/>
    <x v="4"/>
    <s v="اوسكار ريتن "/>
    <x v="4"/>
    <s v="سرير"/>
    <x v="0"/>
    <s v="دورين"/>
    <s v="كينج"/>
    <n v="90"/>
    <x v="1"/>
    <m/>
    <m/>
    <n v="5766"/>
    <s v="حساب شركه"/>
    <x v="2"/>
    <x v="0"/>
    <x v="0"/>
  </r>
  <r>
    <s v="حماده"/>
    <x v="0"/>
    <x v="3"/>
    <s v="هومزمارت"/>
    <x v="0"/>
    <s v="سرير"/>
    <x v="0"/>
    <s v="فردى"/>
    <s v="فورجينا"/>
    <n v="160"/>
    <x v="5"/>
    <m/>
    <m/>
    <n v="11395"/>
    <s v="مسبق الدفع"/>
    <x v="2"/>
    <x v="0"/>
    <x v="2"/>
  </r>
  <r>
    <s v="صفاء عبد الباقي"/>
    <x v="0"/>
    <x v="3"/>
    <s v="هومزمارت"/>
    <x v="0"/>
    <s v="سرير"/>
    <x v="0"/>
    <s v="دورين"/>
    <s v="كينج "/>
    <n v="80"/>
    <x v="0"/>
    <m/>
    <m/>
    <n v="12919"/>
    <s v="مسبق الدفع"/>
    <x v="2"/>
    <x v="0"/>
    <x v="0"/>
  </r>
  <r>
    <s v="اوسكار راتن"/>
    <x v="1"/>
    <x v="4"/>
    <s v="اوسكار ريتن "/>
    <x v="4"/>
    <s v="سرير "/>
    <x v="0"/>
    <s v="دورين"/>
    <s v="نوفال"/>
    <n v="120"/>
    <x v="3"/>
    <m/>
    <m/>
    <n v="6376"/>
    <s v="حساب شركه"/>
    <x v="2"/>
    <x v="0"/>
    <x v="0"/>
  </r>
  <r>
    <s v="اوسكار راتن"/>
    <x v="1"/>
    <x v="4"/>
    <s v="اوسكار ريتن "/>
    <x v="4"/>
    <s v="سرير"/>
    <x v="0"/>
    <s v="دورين "/>
    <s v="نوفال"/>
    <n v="90"/>
    <x v="1"/>
    <m/>
    <m/>
    <n v="5294"/>
    <s v="حساب شركه"/>
    <x v="2"/>
    <x v="0"/>
    <x v="0"/>
  </r>
  <r>
    <s v="رندا العامرى "/>
    <x v="0"/>
    <x v="0"/>
    <s v="كيمت "/>
    <x v="6"/>
    <s v="سرير "/>
    <x v="0"/>
    <s v="دورين "/>
    <s v="كيفنج "/>
    <n v="80"/>
    <x v="1"/>
    <m/>
    <m/>
    <n v="7396"/>
    <s v="مسبق الدفع"/>
    <x v="2"/>
    <x v="0"/>
    <x v="0"/>
  </r>
  <r>
    <s v="ساره"/>
    <x v="0"/>
    <x v="0"/>
    <s v="هومزمارت"/>
    <x v="0"/>
    <s v="سرير"/>
    <x v="0"/>
    <s v="دورين"/>
    <s v="كينج"/>
    <n v="90"/>
    <x v="1"/>
    <m/>
    <m/>
    <n v="13439"/>
    <s v="كاش"/>
    <x v="2"/>
    <x v="0"/>
    <x v="0"/>
  </r>
  <r>
    <s v="تاكى "/>
    <x v="1"/>
    <x v="3"/>
    <s v="تاكى "/>
    <x v="3"/>
    <s v="سرير"/>
    <x v="0"/>
    <s v="فردى "/>
    <s v="امريكى"/>
    <n v="160"/>
    <x v="1"/>
    <m/>
    <m/>
    <n v="5100"/>
    <s v="حساب شركه"/>
    <x v="1"/>
    <x v="1"/>
    <x v="1"/>
  </r>
  <r>
    <s v="محمد حمدى"/>
    <x v="0"/>
    <x v="3"/>
    <s v="فيس بوك"/>
    <x v="2"/>
    <s v="سرير "/>
    <x v="0"/>
    <s v="فردى"/>
    <s v="كوين "/>
    <n v="160"/>
    <x v="4"/>
    <s v="أبيض"/>
    <m/>
    <n v="5700"/>
    <s v="كاش"/>
    <x v="2"/>
    <x v="0"/>
    <x v="0"/>
  </r>
  <r>
    <s v="بافلى هانى "/>
    <x v="0"/>
    <x v="3"/>
    <s v="هومزمارت"/>
    <x v="0"/>
    <s v="سرير"/>
    <x v="0"/>
    <s v="فردى "/>
    <s v="اسبانى "/>
    <n v="120"/>
    <x v="3"/>
    <m/>
    <m/>
    <n v="10885"/>
    <s v="كاش"/>
    <x v="2"/>
    <x v="0"/>
    <x v="2"/>
  </r>
  <r>
    <s v="تاكى "/>
    <x v="1"/>
    <x v="3"/>
    <s v="تاكى"/>
    <x v="3"/>
    <s v="كنبه"/>
    <x v="2"/>
    <s v="t1"/>
    <s v="t1"/>
    <m/>
    <x v="1"/>
    <m/>
    <m/>
    <n v="6000"/>
    <s v="كاش"/>
    <x v="2"/>
    <x v="0"/>
    <x v="0"/>
  </r>
  <r>
    <s v="رنا ميلاد"/>
    <x v="0"/>
    <x v="1"/>
    <s v="هومزمارت"/>
    <x v="0"/>
    <s v="تربيزه"/>
    <x v="1"/>
    <s v="بمكتبة"/>
    <m/>
    <m/>
    <x v="1"/>
    <m/>
    <m/>
    <n v="8449"/>
    <s v="مسبق الدفع"/>
    <x v="0"/>
    <x v="0"/>
    <x v="2"/>
  </r>
  <r>
    <s v="محمد ناجى"/>
    <x v="0"/>
    <x v="3"/>
    <s v="هومزمارت"/>
    <x v="0"/>
    <s v="تربيزه"/>
    <x v="1"/>
    <s v="دورين"/>
    <m/>
    <m/>
    <x v="1"/>
    <s v="ابيض في بنى غامق"/>
    <m/>
    <n v="10249"/>
    <s v="كاش"/>
    <x v="2"/>
    <x v="0"/>
    <x v="2"/>
  </r>
  <r>
    <s v="احمد عبد الستار"/>
    <x v="0"/>
    <x v="1"/>
    <s v="هومزمارت"/>
    <x v="0"/>
    <s v="سرير"/>
    <x v="0"/>
    <s v="دورين"/>
    <s v="كيفنج"/>
    <n v="100"/>
    <x v="1"/>
    <m/>
    <m/>
    <n v="14905"/>
    <s v="مسبق الدفع"/>
    <x v="1"/>
    <x v="2"/>
    <x v="1"/>
  </r>
  <r>
    <s v="نور "/>
    <x v="0"/>
    <x v="3"/>
    <s v="هومزمارت"/>
    <x v="0"/>
    <s v="تربيزه"/>
    <x v="1"/>
    <s v="دورين"/>
    <m/>
    <m/>
    <x v="1"/>
    <s v="بنى غامق"/>
    <m/>
    <n v="10249"/>
    <s v="مسبق الدفع"/>
    <x v="1"/>
    <x v="2"/>
    <x v="1"/>
  </r>
  <r>
    <s v="نور"/>
    <x v="0"/>
    <x v="3"/>
    <s v="هومزمارت "/>
    <x v="0"/>
    <s v="تربيزه"/>
    <x v="1"/>
    <s v="رف سحاب"/>
    <m/>
    <m/>
    <x v="1"/>
    <s v="بنى غامق "/>
    <m/>
    <n v="9029"/>
    <s v="مسبق الدفع"/>
    <x v="1"/>
    <x v="2"/>
    <x v="1"/>
  </r>
  <r>
    <s v="تامر"/>
    <x v="0"/>
    <x v="5"/>
    <s v="هومزمارت "/>
    <x v="0"/>
    <s v="تربيزه"/>
    <x v="1"/>
    <s v="2 ميكانزم"/>
    <m/>
    <m/>
    <x v="1"/>
    <s v="بيج "/>
    <m/>
    <n v="9029"/>
    <s v="مسبق الدفع"/>
    <x v="1"/>
    <x v="2"/>
    <x v="1"/>
  </r>
  <r>
    <s v="هناء اسامه"/>
    <x v="0"/>
    <x v="3"/>
    <s v="هومزمارت"/>
    <x v="0"/>
    <s v="سرير"/>
    <x v="0"/>
    <s v="دورين "/>
    <s v="نوفال"/>
    <n v="80"/>
    <x v="1"/>
    <m/>
    <m/>
    <n v="12099"/>
    <s v="مسبق الدفع"/>
    <x v="1"/>
    <x v="2"/>
    <x v="1"/>
  </r>
  <r>
    <s v="اوسكار راتن"/>
    <x v="1"/>
    <x v="4"/>
    <s v="اوسكار ريتن "/>
    <x v="4"/>
    <s v="سرير"/>
    <x v="0"/>
    <s v="دورين "/>
    <s v="كيفنج "/>
    <n v="90"/>
    <x v="2"/>
    <m/>
    <m/>
    <n v="5217"/>
    <s v="حساب شركه"/>
    <x v="2"/>
    <x v="0"/>
    <x v="0"/>
  </r>
  <r>
    <s v="محمد عادل "/>
    <x v="0"/>
    <x v="3"/>
    <s v="هومزمارت"/>
    <x v="0"/>
    <s v="سرير "/>
    <x v="0"/>
    <s v="منطبق"/>
    <m/>
    <m/>
    <x v="1"/>
    <s v="أسود"/>
    <m/>
    <n v="10249"/>
    <s v="كاش"/>
    <x v="2"/>
    <x v="0"/>
    <x v="2"/>
  </r>
  <r>
    <s v="مريم عنان"/>
    <x v="0"/>
    <x v="3"/>
    <s v="شيك هومز"/>
    <x v="1"/>
    <s v="سرير"/>
    <x v="0"/>
    <s v="دورين"/>
    <s v="كينج"/>
    <n v="90"/>
    <x v="1"/>
    <m/>
    <m/>
    <n v="10445"/>
    <s v="كاش"/>
    <x v="2"/>
    <x v="0"/>
    <x v="0"/>
  </r>
  <r>
    <s v="هبه عطيه "/>
    <x v="0"/>
    <x v="3"/>
    <s v="هومزمارت"/>
    <x v="0"/>
    <s v="تربيزه"/>
    <x v="1"/>
    <s v="دورين"/>
    <m/>
    <m/>
    <x v="1"/>
    <s v="بنى غامق"/>
    <m/>
    <n v="11199"/>
    <s v="كاش"/>
    <x v="2"/>
    <x v="0"/>
    <x v="0"/>
  </r>
  <r>
    <s v="حمدى ذكرى"/>
    <x v="0"/>
    <x v="0"/>
    <s v="هومزمارت"/>
    <x v="0"/>
    <s v="سرير "/>
    <x v="0"/>
    <s v="دورين"/>
    <s v="نوفال"/>
    <n v="80"/>
    <x v="1"/>
    <m/>
    <m/>
    <n v="13099"/>
    <s v="كاش"/>
    <x v="2"/>
    <x v="0"/>
    <x v="2"/>
  </r>
  <r>
    <s v="شيك هومز"/>
    <x v="1"/>
    <x v="0"/>
    <s v="شيك هومز"/>
    <x v="1"/>
    <s v="كنبه"/>
    <x v="2"/>
    <s v="4*1"/>
    <s v="ارينا"/>
    <m/>
    <x v="1"/>
    <s v="روك ١٠"/>
    <m/>
    <n v="8700"/>
    <s v="حساب شركه"/>
    <x v="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12061E-3055-47A3-8156-976E5C81C4F0}" name="كفاءة التسليم"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8">
  <location ref="AA2:AB6"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sortType="descending">
      <items count="8">
        <item x="4"/>
        <item x="3"/>
        <item x="1"/>
        <item x="2"/>
        <item x="6"/>
        <item x="5"/>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sortType="descending">
      <items count="12">
        <item x="0"/>
        <item x="2"/>
        <item x="1"/>
        <item x="6"/>
        <item x="10"/>
        <item x="5"/>
        <item x="8"/>
        <item x="4"/>
        <item x="3"/>
        <item x="7"/>
        <item x="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sortType="descending">
      <items count="4">
        <item x="1"/>
        <item x="0"/>
        <item x="2"/>
        <item t="default"/>
      </items>
    </pivotField>
    <pivotField compact="0" outline="0" showAll="0">
      <items count="6">
        <item x="0"/>
        <item x="2"/>
        <item x="1"/>
        <item x="4"/>
        <item x="3"/>
        <item t="default"/>
      </items>
    </pivotField>
  </pivotFields>
  <rowFields count="1">
    <field x="17"/>
  </rowFields>
  <rowItems count="4">
    <i>
      <x/>
    </i>
    <i>
      <x v="1"/>
    </i>
    <i>
      <x v="2"/>
    </i>
    <i t="grand">
      <x/>
    </i>
  </rowItems>
  <colItems count="1">
    <i/>
  </colItems>
  <dataFields count="1">
    <dataField name="Count of سعر البيع " fld="13" subtotal="count" showDataAs="percentOfTotal" baseField="0" baseItem="0" numFmtId="10"/>
  </dataFields>
  <formats count="4">
    <format dxfId="423">
      <pivotArea grandRow="1" outline="0" collapsedLevelsAreSubtotals="1" fieldPosition="0"/>
    </format>
    <format dxfId="424">
      <pivotArea outline="0" collapsedLevelsAreSubtotals="1" fieldPosition="0"/>
    </format>
    <format dxfId="425">
      <pivotArea dataOnly="0" labelOnly="1" outline="0" axis="axisValues" fieldPosition="0"/>
    </format>
    <format dxfId="426">
      <pivotArea outline="0" fieldPosition="0">
        <references count="1">
          <reference field="17" count="0" selected="0"/>
        </references>
      </pivotArea>
    </format>
  </formats>
  <chartFormats count="7">
    <chartFormat chart="6" format="0" series="1">
      <pivotArea type="data" outline="0" fieldPosition="0">
        <references count="1">
          <reference field="4294967294" count="1" selected="0">
            <x v="0"/>
          </reference>
        </references>
      </pivotArea>
    </chartFormat>
    <chartFormat chart="8" format="9" series="1">
      <pivotArea type="data" outline="0" fieldPosition="0">
        <references count="1">
          <reference field="4294967294" count="1" selected="0">
            <x v="0"/>
          </reference>
        </references>
      </pivotArea>
    </chartFormat>
    <chartFormat chart="8" format="10">
      <pivotArea type="data" outline="0" fieldPosition="0">
        <references count="2">
          <reference field="4294967294" count="1" selected="0">
            <x v="0"/>
          </reference>
          <reference field="17" count="1" selected="0">
            <x v="2"/>
          </reference>
        </references>
      </pivotArea>
    </chartFormat>
    <chartFormat chart="8" format="11">
      <pivotArea type="data" outline="0" fieldPosition="0">
        <references count="2">
          <reference field="4294967294" count="1" selected="0">
            <x v="0"/>
          </reference>
          <reference field="17" count="1" selected="0">
            <x v="1"/>
          </reference>
        </references>
      </pivotArea>
    </chartFormat>
    <chartFormat chart="6" format="1">
      <pivotArea type="data" outline="0" fieldPosition="0">
        <references count="2">
          <reference field="4294967294" count="1" selected="0">
            <x v="0"/>
          </reference>
          <reference field="17" count="1" selected="0">
            <x v="2"/>
          </reference>
        </references>
      </pivotArea>
    </chartFormat>
    <chartFormat chart="6" format="2">
      <pivotArea type="data" outline="0" fieldPosition="0">
        <references count="2">
          <reference field="4294967294" count="1" selected="0">
            <x v="0"/>
          </reference>
          <reference field="17" count="1" selected="0">
            <x v="1"/>
          </reference>
        </references>
      </pivotArea>
    </chartFormat>
    <chartFormat chart="8" format="14">
      <pivotArea type="data" outline="0" fieldPosition="0">
        <references count="2">
          <reference field="4294967294" count="1" selected="0">
            <x v="0"/>
          </reference>
          <reference field="1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60AEA72-C064-409C-9CB7-4CD9ECBA56AA}" name="المنتجات"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8">
  <location ref="S2:T9"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sortType="descending">
      <items count="8">
        <item x="4"/>
        <item x="3"/>
        <item x="1"/>
        <item x="2"/>
        <item x="6"/>
        <item x="5"/>
        <item x="0"/>
        <item t="default"/>
      </items>
      <autoSortScope>
        <pivotArea dataOnly="0" outline="0" fieldPosition="0">
          <references count="1">
            <reference field="4294967294" count="1" selected="0">
              <x v="0"/>
            </reference>
          </references>
        </pivotArea>
      </autoSortScope>
    </pivotField>
    <pivotField compact="0" outline="0" showAll="0"/>
    <pivotField axis="axisRow" compact="0" outline="0" showAll="0" sortType="descending">
      <items count="7">
        <item x="1"/>
        <item x="3"/>
        <item x="0"/>
        <item x="5"/>
        <item x="4"/>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items count="6">
        <item x="0"/>
        <item x="2"/>
        <item x="1"/>
        <item x="4"/>
        <item x="3"/>
        <item t="default"/>
      </items>
    </pivotField>
  </pivotFields>
  <rowFields count="1">
    <field x="6"/>
  </rowFields>
  <rowItems count="7">
    <i>
      <x v="2"/>
    </i>
    <i>
      <x v="5"/>
    </i>
    <i>
      <x/>
    </i>
    <i>
      <x v="1"/>
    </i>
    <i>
      <x v="3"/>
    </i>
    <i>
      <x v="4"/>
    </i>
    <i t="grand">
      <x/>
    </i>
  </rowItems>
  <colItems count="1">
    <i/>
  </colItems>
  <dataFields count="1">
    <dataField name="Sum of سعر البيع " fld="13" baseField="0" baseItem="0" numFmtId="3"/>
  </dataFields>
  <formats count="4">
    <format dxfId="441">
      <pivotArea grandRow="1" outline="0" collapsedLevelsAreSubtotals="1" fieldPosition="0"/>
    </format>
    <format dxfId="442">
      <pivotArea outline="0" fieldPosition="0">
        <references count="1">
          <reference field="6" count="0" selected="0"/>
        </references>
      </pivotArea>
    </format>
    <format dxfId="443">
      <pivotArea outline="0" collapsedLevelsAreSubtotals="1" fieldPosition="0"/>
    </format>
    <format dxfId="444">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DB026C0-862D-4E91-9D48-C688C5DDF9B6}" name="المحافظات"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1">
  <location ref="AE3:AF11" firstHeaderRow="1" firstDataRow="1" firstDataCol="1"/>
  <pivotFields count="19">
    <pivotField compact="0" outline="0" showAll="0"/>
    <pivotField compact="0" outline="0" showAll="0"/>
    <pivotField axis="axisRow" compact="0" outline="0" showAll="0" sortType="descending">
      <items count="8">
        <item x="6"/>
        <item x="1"/>
        <item x="2"/>
        <item x="0"/>
        <item x="5"/>
        <item x="3"/>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8">
        <item x="4"/>
        <item x="3"/>
        <item x="1"/>
        <item x="2"/>
        <item x="6"/>
        <item x="5"/>
        <item x="0"/>
        <item t="default"/>
      </items>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items count="6">
        <item x="0"/>
        <item x="2"/>
        <item x="1"/>
        <item x="4"/>
        <item x="3"/>
        <item t="default"/>
      </items>
    </pivotField>
  </pivotFields>
  <rowFields count="1">
    <field x="2"/>
  </rowFields>
  <rowItems count="8">
    <i>
      <x v="5"/>
    </i>
    <i>
      <x v="3"/>
    </i>
    <i>
      <x v="6"/>
    </i>
    <i>
      <x v="4"/>
    </i>
    <i>
      <x v="1"/>
    </i>
    <i>
      <x v="2"/>
    </i>
    <i>
      <x/>
    </i>
    <i t="grand">
      <x/>
    </i>
  </rowItems>
  <colItems count="1">
    <i/>
  </colItems>
  <dataFields count="1">
    <dataField name="Count of سعر البيع " fld="13" subtotal="count" baseField="0" baseItem="0"/>
  </dataFields>
  <formats count="3">
    <format dxfId="446">
      <pivotArea grandRow="1" outline="0" collapsedLevelsAreSubtotals="1" fieldPosition="0"/>
    </format>
    <format dxfId="447">
      <pivotArea outline="0" collapsedLevelsAreSubtotals="1" fieldPosition="0"/>
    </format>
    <format dxfId="448">
      <pivotArea dataOnly="0" labelOnly="1" outline="0" axis="axisValues" fieldPosition="0"/>
    </format>
  </formats>
  <chartFormats count="2">
    <chartFormat chart="5"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A783A9-49CB-445F-8808-F38331AD3C2C}" name="منصة البيع"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O3:P11"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axis="axisRow" compact="0" outline="0" showAll="0" sortType="ascending">
      <items count="8">
        <item x="4"/>
        <item x="3"/>
        <item x="1"/>
        <item x="2"/>
        <item x="6"/>
        <item x="5"/>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items count="6">
        <item x="0"/>
        <item x="2"/>
        <item x="1"/>
        <item x="4"/>
        <item x="3"/>
        <item t="default"/>
      </items>
    </pivotField>
  </pivotFields>
  <rowFields count="1">
    <field x="4"/>
  </rowFields>
  <rowItems count="8">
    <i>
      <x v="4"/>
    </i>
    <i>
      <x v="5"/>
    </i>
    <i>
      <x v="3"/>
    </i>
    <i>
      <x v="1"/>
    </i>
    <i>
      <x/>
    </i>
    <i>
      <x v="2"/>
    </i>
    <i>
      <x v="6"/>
    </i>
    <i t="grand">
      <x/>
    </i>
  </rowItems>
  <colItems count="1">
    <i/>
  </colItems>
  <dataFields count="1">
    <dataField name="Count of سعر البيع " fld="13" subtotal="count" baseField="0" baseItem="0"/>
  </dataFields>
  <formats count="1">
    <format dxfId="445">
      <pivotArea grandRow="1" outline="0" collapsedLevelsAreSubtotals="1" fieldPosition="0"/>
    </format>
  </formats>
  <chartFormats count="2">
    <chartFormat chart="4"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6E6E5CE-7337-45DB-8FE8-6F46CD71B0A1}" name="الالوان"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5">
  <location ref="W2:X8"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sortType="descending">
      <items count="8">
        <item x="4"/>
        <item x="3"/>
        <item x="1"/>
        <item x="2"/>
        <item x="6"/>
        <item x="5"/>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sortType="descending">
      <items count="7">
        <item x="1"/>
        <item x="3"/>
        <item x="0"/>
        <item x="5"/>
        <item x="4"/>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sortType="ascending">
      <items count="12">
        <item x="0"/>
        <item x="2"/>
        <item x="1"/>
        <item x="6"/>
        <item x="10"/>
        <item x="5"/>
        <item x="8"/>
        <item x="4"/>
        <item x="3"/>
        <item x="7"/>
        <item x="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axis="axisRow" compact="0" outline="0" showAll="0" sortType="ascending">
      <items count="6">
        <item sd="0" x="3"/>
        <item sd="0" x="1"/>
        <item sd="0" x="2"/>
        <item n="أخري" sd="0" x="4"/>
        <item sd="0" x="0"/>
        <item t="default"/>
      </items>
      <autoSortScope>
        <pivotArea dataOnly="0" outline="0" fieldPosition="0">
          <references count="1">
            <reference field="4294967294" count="1" selected="0">
              <x v="0"/>
            </reference>
          </references>
        </pivotArea>
      </autoSortScope>
    </pivotField>
  </pivotFields>
  <rowFields count="1">
    <field x="18"/>
  </rowFields>
  <rowItems count="6">
    <i>
      <x v="2"/>
    </i>
    <i>
      <x/>
    </i>
    <i>
      <x v="3"/>
    </i>
    <i>
      <x v="4"/>
    </i>
    <i>
      <x v="1"/>
    </i>
    <i t="grand">
      <x/>
    </i>
  </rowItems>
  <colItems count="1">
    <i/>
  </colItems>
  <dataFields count="1">
    <dataField name="Count of سعر البيع " fld="13" subtotal="count" baseField="0" baseItem="0"/>
  </dataFields>
  <formats count="5">
    <format dxfId="436">
      <pivotArea grandRow="1" outline="0" collapsedLevelsAreSubtotals="1" fieldPosition="0"/>
    </format>
    <format dxfId="437">
      <pivotArea outline="0" collapsedLevelsAreSubtotals="1" fieldPosition="0"/>
    </format>
    <format dxfId="438">
      <pivotArea dataOnly="0" labelOnly="1" outline="0" axis="axisValues" fieldPosition="0"/>
    </format>
    <format dxfId="439">
      <pivotArea outline="0" collapsedLevelsAreSubtotals="1" fieldPosition="0"/>
    </format>
    <format dxfId="440">
      <pivotArea dataOnly="0" labelOnly="1" outline="0" axis="axisValues" fieldPosition="0"/>
    </format>
  </formats>
  <chartFormats count="4">
    <chartFormat chart="24"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5"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768020A-B244-4530-B245-2AEF2D96F269}" name="مسؤلية تاخير الشحن"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8">
  <location ref="AN4:AP8" firstHeaderRow="1" firstDataRow="1" firstDataCol="2"/>
  <pivotFields count="19">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compact="0" outline="0" showAll="0"/>
    <pivotField compact="0" outline="0" showAll="0"/>
    <pivotField axis="axisRow" compact="0" outline="0" showAll="0" sortType="descending">
      <items count="5">
        <item x="1"/>
        <item x="2"/>
        <item n="شحن " x="0"/>
        <item x="3"/>
        <item t="default"/>
      </items>
    </pivotField>
    <pivotField compact="0" outline="0" showAll="0"/>
    <pivotField axis="axisRow" dataField="1" compact="0" outline="0" showAll="0" sortType="descending">
      <items count="4">
        <item h="1" x="1"/>
        <item h="1" x="0"/>
        <item n="-" x="2"/>
        <item t="default"/>
      </items>
    </pivotField>
    <pivotField compact="0" outline="0" showAll="0">
      <items count="6">
        <item x="0"/>
        <item x="2"/>
        <item x="1"/>
        <item x="4"/>
        <item x="3"/>
        <item t="default"/>
      </items>
    </pivotField>
  </pivotFields>
  <rowFields count="2">
    <field x="17"/>
    <field x="15"/>
  </rowFields>
  <rowItems count="4">
    <i>
      <x v="2"/>
      <x v="1"/>
    </i>
    <i r="1">
      <x v="2"/>
    </i>
    <i t="default">
      <x v="2"/>
    </i>
    <i t="grand">
      <x/>
    </i>
  </rowItems>
  <colItems count="1">
    <i/>
  </colItems>
  <dataFields count="1">
    <dataField name="Count of كفاءة التسليم" fld="17" subtotal="count" showDataAs="percentOfTotal" baseField="17" baseItem="0" numFmtId="10"/>
  </dataFields>
  <formats count="7">
    <format dxfId="494">
      <pivotArea grandRow="1" outline="0" collapsedLevelsAreSubtotals="1" fieldPosition="0"/>
    </format>
    <format dxfId="493">
      <pivotArea outline="0" collapsedLevelsAreSubtotals="1" fieldPosition="0"/>
    </format>
    <format dxfId="492">
      <pivotArea dataOnly="0" labelOnly="1" outline="0" axis="axisValues" fieldPosition="0"/>
    </format>
    <format dxfId="491">
      <pivotArea outline="0" fieldPosition="0">
        <references count="1">
          <reference field="4294967294" count="1">
            <x v="0"/>
          </reference>
        </references>
      </pivotArea>
    </format>
    <format dxfId="490">
      <pivotArea outline="0" fieldPosition="0">
        <references count="2">
          <reference field="15" count="1" selected="0">
            <x v="2"/>
          </reference>
          <reference field="17" count="0" selected="0"/>
        </references>
      </pivotArea>
    </format>
    <format dxfId="489">
      <pivotArea outline="0" fieldPosition="0">
        <references count="2">
          <reference field="15" count="1" selected="0">
            <x v="2"/>
          </reference>
          <reference field="17" count="0" selected="0"/>
        </references>
      </pivotArea>
    </format>
    <format dxfId="488">
      <pivotArea outline="0" fieldPosition="0">
        <references count="2">
          <reference field="15" count="1" selected="0">
            <x v="1"/>
          </reference>
          <reference field="17" count="0" selected="0"/>
        </references>
      </pivotArea>
    </format>
  </formats>
  <chartFormats count="19">
    <chartFormat chart="14" format="0" series="1">
      <pivotArea type="data" outline="0" fieldPosition="0">
        <references count="2">
          <reference field="4294967294" count="1" selected="0">
            <x v="0"/>
          </reference>
          <reference field="15" count="1" selected="0">
            <x v="2"/>
          </reference>
        </references>
      </pivotArea>
    </chartFormat>
    <chartFormat chart="14" format="2" series="1">
      <pivotArea type="data" outline="0" fieldPosition="0">
        <references count="2">
          <reference field="4294967294" count="1" selected="0">
            <x v="0"/>
          </reference>
          <reference field="15" count="1" selected="0">
            <x v="0"/>
          </reference>
        </references>
      </pivotArea>
    </chartFormat>
    <chartFormat chart="18" format="0" series="1">
      <pivotArea type="data" outline="0" fieldPosition="0">
        <references count="2">
          <reference field="4294967294" count="1" selected="0">
            <x v="0"/>
          </reference>
          <reference field="15" count="1" selected="0">
            <x v="2"/>
          </reference>
        </references>
      </pivotArea>
    </chartFormat>
    <chartFormat chart="18" format="2" series="1">
      <pivotArea type="data" outline="0" fieldPosition="0">
        <references count="2">
          <reference field="4294967294" count="1" selected="0">
            <x v="0"/>
          </reference>
          <reference field="15" count="1" selected="0">
            <x v="0"/>
          </reference>
        </references>
      </pivotArea>
    </chartFormat>
    <chartFormat chart="18" format="3" series="1">
      <pivotArea type="data" outline="0" fieldPosition="0">
        <references count="2">
          <reference field="4294967294" count="1" selected="0">
            <x v="0"/>
          </reference>
          <reference field="15" count="1" selected="0">
            <x v="3"/>
          </reference>
        </references>
      </pivotArea>
    </chartFormat>
    <chartFormat chart="14" format="3" series="1">
      <pivotArea type="data" outline="0" fieldPosition="0">
        <references count="2">
          <reference field="4294967294" count="1" selected="0">
            <x v="0"/>
          </reference>
          <reference field="15" count="1" selected="0">
            <x v="3"/>
          </reference>
        </references>
      </pivotArea>
    </chartFormat>
    <chartFormat chart="22" format="0" series="1">
      <pivotArea type="data" outline="0" fieldPosition="0">
        <references count="2">
          <reference field="4294967294" count="1" selected="0">
            <x v="0"/>
          </reference>
          <reference field="15" count="1" selected="0">
            <x v="2"/>
          </reference>
        </references>
      </pivotArea>
    </chartFormat>
    <chartFormat chart="22" format="2" series="1">
      <pivotArea type="data" outline="0" fieldPosition="0">
        <references count="2">
          <reference field="4294967294" count="1" selected="0">
            <x v="0"/>
          </reference>
          <reference field="15" count="1" selected="0">
            <x v="0"/>
          </reference>
        </references>
      </pivotArea>
    </chartFormat>
    <chartFormat chart="22" format="3" series="1">
      <pivotArea type="data" outline="0" fieldPosition="0">
        <references count="1">
          <reference field="4294967294" count="1" selected="0">
            <x v="0"/>
          </reference>
        </references>
      </pivotArea>
    </chartFormat>
    <chartFormat chart="18" format="4"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27" format="1">
      <pivotArea type="data" outline="0" fieldPosition="0">
        <references count="3">
          <reference field="4294967294" count="1" selected="0">
            <x v="0"/>
          </reference>
          <reference field="15" count="1" selected="0">
            <x v="2"/>
          </reference>
          <reference field="17" count="1" selected="0">
            <x v="2"/>
          </reference>
        </references>
      </pivotArea>
    </chartFormat>
    <chartFormat chart="27" format="3">
      <pivotArea type="data" outline="0" fieldPosition="0">
        <references count="3">
          <reference field="4294967294" count="1" selected="0">
            <x v="0"/>
          </reference>
          <reference field="15" count="1" selected="0">
            <x v="0"/>
          </reference>
          <reference field="17" count="1" selected="0">
            <x v="2"/>
          </reference>
        </references>
      </pivotArea>
    </chartFormat>
    <chartFormat chart="33" format="4" series="1">
      <pivotArea type="data" outline="0" fieldPosition="0">
        <references count="1">
          <reference field="4294967294" count="1" selected="0">
            <x v="0"/>
          </reference>
        </references>
      </pivotArea>
    </chartFormat>
    <chartFormat chart="33" format="5">
      <pivotArea type="data" outline="0" fieldPosition="0">
        <references count="3">
          <reference field="4294967294" count="1" selected="0">
            <x v="0"/>
          </reference>
          <reference field="15" count="1" selected="0">
            <x v="2"/>
          </reference>
          <reference field="17" count="1" selected="0">
            <x v="2"/>
          </reference>
        </references>
      </pivotArea>
    </chartFormat>
    <chartFormat chart="34" format="7" series="1">
      <pivotArea type="data" outline="0" fieldPosition="0">
        <references count="1">
          <reference field="4294967294" count="1" selected="0">
            <x v="0"/>
          </reference>
        </references>
      </pivotArea>
    </chartFormat>
    <chartFormat chart="34" format="8">
      <pivotArea type="data" outline="0" fieldPosition="0">
        <references count="3">
          <reference field="4294967294" count="1" selected="0">
            <x v="0"/>
          </reference>
          <reference field="15" count="1" selected="0">
            <x v="2"/>
          </reference>
          <reference field="17" count="1" selected="0">
            <x v="2"/>
          </reference>
        </references>
      </pivotArea>
    </chartFormat>
    <chartFormat chart="34" format="10">
      <pivotArea type="data" outline="0" fieldPosition="0">
        <references count="3">
          <reference field="4294967294" count="1" selected="0">
            <x v="0"/>
          </reference>
          <reference field="15" count="1" selected="0">
            <x v="1"/>
          </reference>
          <reference field="1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0343703-A2AF-4F2C-BE76-8E844D0E0A9A}" name="اجمالي المبيعات"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A3:B7"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items count="8">
        <item x="4"/>
        <item x="3"/>
        <item x="1"/>
        <item x="2"/>
        <item x="6"/>
        <item x="5"/>
        <item x="0"/>
        <item t="default"/>
      </items>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axis="axisRow" compact="0" outline="0" showAll="0" sortType="descending">
      <items count="4">
        <item x="0"/>
        <item x="1"/>
        <item x="2"/>
        <item t="default"/>
      </items>
      <autoSortScope>
        <pivotArea dataOnly="0" outline="0" fieldPosition="0">
          <references count="1">
            <reference field="4294967294" count="1" selected="0">
              <x v="0"/>
            </reference>
          </references>
        </pivotArea>
      </autoSortScope>
    </pivotField>
    <pivotField compact="0" outline="0" showAll="0">
      <items count="4">
        <item x="2"/>
        <item x="0"/>
        <item x="1"/>
        <item t="default"/>
      </items>
    </pivotField>
    <pivotField compact="0" outline="0" showAll="0">
      <items count="6">
        <item x="0"/>
        <item x="2"/>
        <item x="1"/>
        <item x="4"/>
        <item x="3"/>
        <item t="default"/>
      </items>
    </pivotField>
  </pivotFields>
  <rowFields count="1">
    <field x="16"/>
  </rowFields>
  <rowItems count="4">
    <i>
      <x/>
    </i>
    <i>
      <x v="2"/>
    </i>
    <i>
      <x v="1"/>
    </i>
    <i t="grand">
      <x/>
    </i>
  </rowItems>
  <colItems count="1">
    <i/>
  </colItems>
  <dataFields count="1">
    <dataField name="Sum of سعر البيع " fld="13" baseField="0" baseItem="0"/>
  </dataFields>
  <formats count="2">
    <format dxfId="434">
      <pivotArea outline="0" fieldPosition="0">
        <references count="1">
          <reference field="16" count="0" selected="0"/>
        </references>
      </pivotArea>
    </format>
    <format dxfId="435">
      <pivotArea grandRow="1" outline="0" collapsedLevelsAreSubtotals="1" fieldPosition="0"/>
    </format>
  </format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DBD99AE-022F-4BAC-97E8-0B5C92D0BD39}" name="نوع العميل"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37">
  <location ref="AI3:AJ6" firstHeaderRow="1" firstDataRow="1" firstDataCol="1"/>
  <pivotFields count="19">
    <pivotField compact="0" outline="0" showAll="0"/>
    <pivotField axis="axisRow" compact="0" outline="0" showAll="0" sortType="descending">
      <items count="3">
        <item x="1"/>
        <item x="0"/>
        <item t="default"/>
      </items>
    </pivotField>
    <pivotField compact="0" outline="0" showAll="0" sortType="descending">
      <items count="8">
        <item x="6"/>
        <item x="1"/>
        <item x="2"/>
        <item x="0"/>
        <item x="5"/>
        <item x="3"/>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items count="8">
        <item x="4"/>
        <item x="3"/>
        <item x="1"/>
        <item x="2"/>
        <item x="6"/>
        <item x="5"/>
        <item x="0"/>
        <item t="default"/>
      </items>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items count="6">
        <item x="0"/>
        <item x="2"/>
        <item x="1"/>
        <item x="4"/>
        <item x="3"/>
        <item t="default"/>
      </items>
    </pivotField>
  </pivotFields>
  <rowFields count="1">
    <field x="1"/>
  </rowFields>
  <rowItems count="3">
    <i>
      <x/>
    </i>
    <i>
      <x v="1"/>
    </i>
    <i t="grand">
      <x/>
    </i>
  </rowItems>
  <colItems count="1">
    <i/>
  </colItems>
  <dataFields count="1">
    <dataField name="Count of سعر البيع " fld="13" subtotal="count" baseField="0" baseItem="0"/>
  </dataFields>
  <formats count="3">
    <format dxfId="427">
      <pivotArea grandRow="1" outline="0" collapsedLevelsAreSubtotals="1" fieldPosition="0"/>
    </format>
    <format dxfId="428">
      <pivotArea outline="0" collapsedLevelsAreSubtotals="1" fieldPosition="0"/>
    </format>
    <format dxfId="429">
      <pivotArea dataOnly="0" labelOnly="1" outline="0" axis="axisValues" fieldPosition="0"/>
    </format>
  </formats>
  <chartFormats count="6">
    <chartFormat chart="5" format="0"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1" count="1" selected="0">
            <x v="1"/>
          </reference>
        </references>
      </pivotArea>
    </chartFormat>
    <chartFormat chart="5" format="8">
      <pivotArea type="data" outline="0" fieldPosition="0">
        <references count="2">
          <reference field="4294967294" count="1" selected="0">
            <x v="0"/>
          </reference>
          <reference field="1" count="1" selected="0">
            <x v="0"/>
          </reference>
        </references>
      </pivotArea>
    </chartFormat>
    <chartFormat chart="9" format="15" series="1">
      <pivotArea type="data" outline="0" fieldPosition="0">
        <references count="1">
          <reference field="4294967294" count="1" selected="0">
            <x v="0"/>
          </reference>
        </references>
      </pivotArea>
    </chartFormat>
    <chartFormat chart="9" format="16">
      <pivotArea type="data" outline="0" fieldPosition="0">
        <references count="2">
          <reference field="4294967294" count="1" selected="0">
            <x v="0"/>
          </reference>
          <reference field="1" count="1" selected="0">
            <x v="1"/>
          </reference>
        </references>
      </pivotArea>
    </chartFormat>
    <chartFormat chart="9" format="17">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234C955-9F9D-4E03-8467-082E1A443F3A}"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U4:AU5" firstHeaderRow="1" firstDataRow="1" firstDataCol="0"/>
  <pivotFields count="1">
    <pivotField dataField="1" subtotalTop="0" showAll="0" defaultSubtotal="0"/>
  </pivotFields>
  <rowItems count="1">
    <i/>
  </rowItems>
  <colItems count="1">
    <i/>
  </colItems>
  <dataFields count="1">
    <dataField name="Distinct Count of اللون المعدن" fld="0" subtotal="count" baseField="0" baseItem="0">
      <extLst>
        <ext xmlns:x15="http://schemas.microsoft.com/office/spreadsheetml/2010/11/main" uri="{FABC7310-3BB5-11E1-824E-6D434824019B}">
          <x15:dataField isCountDistinct="1"/>
        </ext>
      </extLst>
    </dataField>
  </dataFields>
  <pivotHierarchies count="2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caption="Distinct Count of اللون المعدن"/>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ISUO - Copy (2) - Copy.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5DBEE1B-19BF-4247-AD0D-CCB6F1D4EA59}" name="متوسط سعر البيع"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4">
  <location ref="L2:L3" firstHeaderRow="1" firstDataRow="1" firstDataCol="0"/>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items count="8">
        <item x="4"/>
        <item x="3"/>
        <item x="1"/>
        <item x="2"/>
        <item x="6"/>
        <item x="5"/>
        <item x="0"/>
        <item t="default"/>
      </items>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items count="4">
        <item x="2"/>
        <item x="0"/>
        <item x="1"/>
        <item t="default"/>
      </items>
    </pivotField>
    <pivotField compact="0" outline="0" showAll="0">
      <items count="6">
        <item x="0"/>
        <item x="2"/>
        <item x="1"/>
        <item x="4"/>
        <item x="3"/>
        <item t="default"/>
      </items>
    </pivotField>
  </pivotFields>
  <rowItems count="1">
    <i/>
  </rowItems>
  <colItems count="1">
    <i/>
  </colItems>
  <dataFields count="1">
    <dataField name="Average of سعر البيع " fld="13" subtotal="average" baseField="0" baseItem="0" numFmtId="3"/>
  </dataFields>
  <formats count="3">
    <format dxfId="431">
      <pivotArea type="all" dataOnly="0" outline="0" fieldPosition="0"/>
    </format>
    <format dxfId="432">
      <pivotArea outline="0" collapsedLevelsAreSubtotals="1" fieldPosition="0"/>
    </format>
    <format dxfId="4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9E18C51-1A52-49FF-B4F1-76A2AD42516B}" name="اجمالي الطلبات"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9">
  <location ref="F2:G6" firstHeaderRow="1" firstDataRow="1" firstDataCol="1"/>
  <pivotFields count="19">
    <pivotField compact="0" outline="0" showAll="0"/>
    <pivotField compact="0" outline="0" showAll="0"/>
    <pivotField compact="0" outline="0" showAll="0">
      <items count="8">
        <item x="6"/>
        <item x="1"/>
        <item x="2"/>
        <item x="0"/>
        <item x="5"/>
        <item x="3"/>
        <item x="4"/>
        <item t="default"/>
      </items>
    </pivotField>
    <pivotField compact="0" outline="0" showAll="0"/>
    <pivotField compact="0" outline="0" showAll="0">
      <items count="8">
        <item x="4"/>
        <item x="3"/>
        <item x="1"/>
        <item x="2"/>
        <item x="6"/>
        <item x="5"/>
        <item x="0"/>
        <item t="default"/>
      </items>
    </pivotField>
    <pivotField compact="0" outline="0" showAll="0"/>
    <pivotField compact="0" outline="0" showAll="0">
      <items count="7">
        <item x="1"/>
        <item x="3"/>
        <item x="0"/>
        <item x="5"/>
        <item x="4"/>
        <item x="2"/>
        <item t="default"/>
      </items>
    </pivotField>
    <pivotField compact="0" outline="0" showAll="0"/>
    <pivotField compact="0" outline="0" showAll="0"/>
    <pivotField compact="0" outline="0" showAll="0"/>
    <pivotField compact="0" outline="0" showAll="0">
      <items count="12">
        <item x="0"/>
        <item x="2"/>
        <item x="1"/>
        <item x="6"/>
        <item x="10"/>
        <item x="5"/>
        <item x="8"/>
        <item x="4"/>
        <item x="3"/>
        <item x="7"/>
        <item x="9"/>
        <item t="default"/>
      </items>
    </pivotField>
    <pivotField compact="0" outline="0" showAll="0"/>
    <pivotField compact="0" outline="0" showAll="0"/>
    <pivotField dataField="1" compact="0" outline="0" showAll="0"/>
    <pivotField compact="0" outline="0" showAll="0"/>
    <pivotField compact="0" outline="0" showAll="0"/>
    <pivotField axis="axisRow" compact="0" outline="0" showAll="0" sortType="descending">
      <items count="4">
        <item x="0"/>
        <item x="1"/>
        <item x="2"/>
        <item t="default"/>
      </items>
      <autoSortScope>
        <pivotArea dataOnly="0" outline="0" fieldPosition="0">
          <references count="1">
            <reference field="4294967294" count="1" selected="0">
              <x v="0"/>
            </reference>
          </references>
        </pivotArea>
      </autoSortScope>
    </pivotField>
    <pivotField compact="0" outline="0" showAll="0">
      <items count="4">
        <item x="2"/>
        <item x="0"/>
        <item x="1"/>
        <item t="default"/>
      </items>
    </pivotField>
    <pivotField compact="0" outline="0" showAll="0">
      <items count="6">
        <item x="0"/>
        <item x="2"/>
        <item x="1"/>
        <item x="4"/>
        <item x="3"/>
        <item t="default"/>
      </items>
    </pivotField>
  </pivotFields>
  <rowFields count="1">
    <field x="16"/>
  </rowFields>
  <rowItems count="4">
    <i>
      <x/>
    </i>
    <i>
      <x v="2"/>
    </i>
    <i>
      <x v="1"/>
    </i>
    <i t="grand">
      <x/>
    </i>
  </rowItems>
  <colItems count="1">
    <i/>
  </colItems>
  <dataFields count="1">
    <dataField name="Count of Orders" fld="13" subtotal="count" baseField="0" baseItem="0"/>
  </dataFields>
  <formats count="1">
    <format dxfId="430">
      <pivotArea grandRow="1" outline="0" collapsedLevelsAreSubtotals="1" fieldPosition="0"/>
    </format>
  </formats>
  <chartFormats count="4">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16" count="1" selected="0">
            <x v="0"/>
          </reference>
        </references>
      </pivotArea>
    </chartFormat>
    <chartFormat chart="8" format="2">
      <pivotArea type="data" outline="0" fieldPosition="0">
        <references count="2">
          <reference field="4294967294" count="1" selected="0">
            <x v="0"/>
          </reference>
          <reference field="16" count="1" selected="0">
            <x v="2"/>
          </reference>
        </references>
      </pivotArea>
    </chartFormat>
    <chartFormat chart="8" format="3">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سم_الصنف_الجديد" xr10:uid="{6D5A45F5-7126-4633-8CEB-87E3F8C8D49E}" sourceName="اسم الصنف الجديد">
  <pivotTables>
    <pivotTable tabId="7" name="المحافظات"/>
    <pivotTable tabId="7" name="منصة البيع"/>
    <pivotTable tabId="7" name="المنتجات"/>
    <pivotTable tabId="7" name="الالوان"/>
    <pivotTable tabId="7" name="اجمالي المبيعات"/>
    <pivotTable tabId="7" name="متوسط سعر البيع"/>
    <pivotTable tabId="7" name="اجمالي الطلبات"/>
  </pivotTables>
  <data>
    <tabular pivotCacheId="110184042">
      <items count="6">
        <i x="1" s="1"/>
        <i x="3" s="1"/>
        <i x="0" s="1"/>
        <i x="5"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عنوان" xr10:uid="{5C240115-8CAE-4BF3-93F2-8B07D11DD897}" sourceName="العنوان">
  <pivotTables>
    <pivotTable tabId="7" name="نوع العميل"/>
    <pivotTable tabId="7" name="اجمالي الطلبات"/>
    <pivotTable tabId="7" name="اجمالي المبيعات"/>
    <pivotTable tabId="7" name="الالوان"/>
    <pivotTable tabId="7" name="المنتجات"/>
    <pivotTable tabId="7" name="كفاءة التسليم"/>
    <pivotTable tabId="7" name="متوسط سعر البيع"/>
    <pivotTable tabId="7" name="منصة البيع"/>
  </pivotTables>
  <data>
    <tabular pivotCacheId="110184042">
      <items count="7">
        <i x="6" s="1"/>
        <i x="1" s="1"/>
        <i x="2" s="1"/>
        <i x="0" s="1"/>
        <i x="5"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نصة_البيع_الجديد" xr10:uid="{2AF5DB22-3F61-4EE9-B743-F037DE5D1E9F}" sourceName="منصة البيع الجديد">
  <pivotTables>
    <pivotTable tabId="7" name="نوع العميل"/>
    <pivotTable tabId="7" name="اجمالي الطلبات"/>
    <pivotTable tabId="7" name="اجمالي المبيعات"/>
    <pivotTable tabId="7" name="الالوان"/>
    <pivotTable tabId="7" name="المحافظات"/>
    <pivotTable tabId="7" name="المنتجات"/>
    <pivotTable tabId="7" name="كفاءة التسليم"/>
    <pivotTable tabId="7" name="متوسط سعر البيع"/>
    <pivotTable tabId="7" name="منصة البيع"/>
  </pivotTables>
  <data>
    <tabular pivotCacheId="110184042">
      <items count="7">
        <i x="4" s="1"/>
        <i x="3" s="1"/>
        <i x="1" s="1"/>
        <i x="2" s="1"/>
        <i x="6" s="1"/>
        <i x="5"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كفاءة_التسليم" xr10:uid="{F04A878D-2AF9-43F7-848E-7598F9112E92}" sourceName="كفاءة التسليم">
  <pivotTables>
    <pivotTable tabId="7" name="اجمالي الطلبات"/>
    <pivotTable tabId="7" name="اجمالي المبيعات"/>
    <pivotTable tabId="7" name="الالوان"/>
    <pivotTable tabId="7" name="المحافظات"/>
    <pivotTable tabId="7" name="المنتجات"/>
    <pivotTable tabId="7" name="متوسط سعر البيع"/>
    <pivotTable tabId="7" name="منصة البيع"/>
    <pivotTable tabId="7" name="نوع العميل"/>
  </pivotTables>
  <data>
    <tabular pivotCacheId="110184042" sortOrder="descending">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اللون_المعدن21" xr10:uid="{E3395450-4776-4F7A-BA9A-F4C2F6A686DE}" sourceName="اللون المعدن2">
  <pivotTables>
    <pivotTable tabId="7" name="نوع العميل"/>
    <pivotTable tabId="7" name="منصة البيع"/>
    <pivotTable tabId="7" name="المنتجات"/>
    <pivotTable tabId="7" name="المحافظات"/>
    <pivotTable tabId="7" name="اجمالي المبيعات"/>
    <pivotTable tabId="7" name="اجمالي الطلبات"/>
    <pivotTable tabId="7" name="متوسط سعر البيع"/>
    <pivotTable tabId="7" name="الالوان"/>
  </pivotTables>
  <data>
    <tabular pivotCacheId="110184042">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اسم الصنف الجديد" xr10:uid="{341E58F8-7C6D-43C0-91CB-49EAB297F891}" cache="Slicer_اسم_الصنف_الجديد" caption="اسم الصنف الجديد" showCaption="0" style="mySlicerFormate" rowHeight="274320"/>
  <slicer name="العنوان" xr10:uid="{7FE74B2F-D5E9-4C91-AB3C-C2E19A7B2645}" cache="Slicer_العنوان" caption="العنوان" startItem="5" showCaption="0" style="mySlicerFormate" rowHeight="274320"/>
  <slicer name="منصة البيع الجديد" xr10:uid="{849E8827-DFBA-4A59-ACD5-2470924A9692}" cache="Slicer_منصة_البيع_الجديد" caption="منصة البيع الجديد" startItem="3" showCaption="0" style="mySlicerFormate" rowHeight="274320"/>
  <slicer name="كفاءة التسليم" xr10:uid="{D6690E18-929B-410D-B2F3-CCC14479FAE6}" cache="Slicer_كفاءة_التسليم" caption="كفاءة التسليم" showCaption="0" style="mySlicerFormate" rowHeight="274320"/>
  <slicer name="اللون المعدن2 1" xr10:uid="{00B1C3D3-2DFE-492F-AC6A-5F3CDC3636CD}" cache="Slicer_اللون_المعدن21" caption="اللون المعدن2" startItem="3" showCaption="0" style="mySlicerFormate" rowHeight="274320"/>
  <slicer name="اللون المعدن2" xr10:uid="{B46ED3D7-9906-492A-8392-EFAB6E9CB2A1}" cache="Slicer_اللون_المعدن21" caption="اللون المعدن2" showCaption="0" style="SlicerStyleDark4"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B8E01-05A2-456D-98FC-2564910B59CB}" name="Table1" displayName="Table1" ref="A1:R117" headerRowDxfId="487" headerRowBorderDxfId="486" tableBorderDxfId="485">
  <autoFilter ref="A1:R117" xr:uid="{00000000-0001-0000-0000-000000000000}"/>
  <tableColumns count="18">
    <tableColumn id="1" xr3:uid="{58B0EA91-CE01-40E1-A0B3-89F17FC77C0B}" name="أسم العميل" totalsRowLabel="Total" dataDxfId="484" totalsRowDxfId="483"/>
    <tableColumn id="2" xr3:uid="{29E99C47-C887-4D8E-9EDB-2004F1B23A40}" name="نوع العميل" dataDxfId="482" totalsRowDxfId="481"/>
    <tableColumn id="3" xr3:uid="{0654BF4B-A780-4828-B810-F2B9326E006B}" name="العنوان" dataDxfId="480" totalsRowDxfId="479"/>
    <tableColumn id="4" xr3:uid="{AB72D77A-A78B-4CBE-9842-A38F982F26C4}" name="منصة البيع " dataDxfId="478" totalsRowDxfId="477"/>
    <tableColumn id="17" xr3:uid="{CB7E1562-AC5B-4023-BC57-7EADB3F77392}" name="منصة البيع الجديد" dataDxfId="476" totalsRowDxfId="475">
      <calculatedColumnFormula>TRIM(CLEAN(D2))</calculatedColumnFormula>
    </tableColumn>
    <tableColumn id="5" xr3:uid="{7F4C7815-6D9B-40E6-9D64-B0B3A788C01F}" name="اسم الصنف" dataDxfId="474" totalsRowDxfId="473"/>
    <tableColumn id="18" xr3:uid="{E77B1077-EF04-4AD2-B41C-79BE02474CAE}" name="اسم الصنف الجديد" dataDxfId="472" totalsRowDxfId="471">
      <calculatedColumnFormula>TRIM(CLEAN(F2))</calculatedColumnFormula>
    </tableColumn>
    <tableColumn id="6" xr3:uid="{230F4F9A-8E67-4CA2-AF3C-486785799DD3}" name="نوع الصنف" dataDxfId="470" totalsRowDxfId="469"/>
    <tableColumn id="7" xr3:uid="{D8884E05-AF95-4A6C-B77B-4AEFAE86D4F8}" name="الموديل" dataDxfId="468" totalsRowDxfId="467"/>
    <tableColumn id="8" xr3:uid="{7A985179-9949-4FED-8AC0-9BFB6EFBC8F4}" name="المقاس" dataDxfId="466" totalsRowDxfId="465"/>
    <tableColumn id="9" xr3:uid="{D9D60498-8B08-4E4F-A885-0B858581C98C}" name="اللون المعدن" dataDxfId="464" totalsRowDxfId="463"/>
    <tableColumn id="10" xr3:uid="{A20CD6C8-D866-4222-A4B7-C5E37D8BEBF4}" name="لون القماش" dataDxfId="462" totalsRowDxfId="461"/>
    <tableColumn id="11" xr3:uid="{064BC4DC-CEBE-4BFA-86D7-E0918A4433C4}" name="المنتج" dataDxfId="460" totalsRowDxfId="459"/>
    <tableColumn id="12" xr3:uid="{DA531B63-E9DB-40DD-8CE7-8F2C1F8C6E2A}" name="سعر البيع " dataDxfId="458" totalsRowDxfId="457"/>
    <tableColumn id="13" xr3:uid="{89C3D6D0-7109-4102-B36C-E2481EFDCD4D}" name="طريقه الدفع " dataDxfId="456" totalsRowDxfId="455"/>
    <tableColumn id="14" xr3:uid="{94C52AE4-190E-4A85-82B9-47152F6F622C}" name="المسئول عن التسليم" dataDxfId="454" totalsRowDxfId="453"/>
    <tableColumn id="15" xr3:uid="{9B62B0A1-5CDC-4250-B110-5B1588DE72FE}" name="الحالة" dataDxfId="452" totalsRowDxfId="451"/>
    <tableColumn id="16" xr3:uid="{2627C72C-D797-4433-AE08-27003A1A7E01}" name="كفاءة التسليم" totalsRowFunction="count" dataDxfId="450" totalsRowDxfId="44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F45C0-F2AD-4CDC-992D-03D2C43901C9}">
  <sheetPr codeName="Sheet1"/>
  <dimension ref="I9"/>
  <sheetViews>
    <sheetView tabSelected="1" zoomScaleNormal="100" workbookViewId="0">
      <selection activeCell="N22" sqref="N22"/>
    </sheetView>
  </sheetViews>
  <sheetFormatPr defaultRowHeight="15" x14ac:dyDescent="0.25"/>
  <cols>
    <col min="1" max="1" width="9.140625" style="79"/>
    <col min="2" max="2" width="9.140625" style="79" customWidth="1"/>
    <col min="3" max="16384" width="9.140625" style="79"/>
  </cols>
  <sheetData>
    <row r="9" spans="9:9" x14ac:dyDescent="0.25">
      <c r="I9" s="8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etAllSlicers" altText="Rest">
                <anchor moveWithCells="1" sizeWithCells="1">
                  <from>
                    <xdr:col>18</xdr:col>
                    <xdr:colOff>352425</xdr:colOff>
                    <xdr:row>0</xdr:row>
                    <xdr:rowOff>66675</xdr:rowOff>
                  </from>
                  <to>
                    <xdr:col>20</xdr:col>
                    <xdr:colOff>333375</xdr:colOff>
                    <xdr:row>3</xdr:row>
                    <xdr:rowOff>38100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1A5B0-520D-4C9B-AADE-431BD3BF09D0}">
  <sheetPr codeName="Sheet2"/>
  <dimension ref="A1:AW19"/>
  <sheetViews>
    <sheetView topLeftCell="M1" zoomScale="90" zoomScaleNormal="90" workbookViewId="0">
      <selection activeCell="P7" sqref="P7"/>
    </sheetView>
  </sheetViews>
  <sheetFormatPr defaultRowHeight="15" x14ac:dyDescent="0.25"/>
  <cols>
    <col min="1" max="1" width="11.28515625" bestFit="1" customWidth="1"/>
    <col min="2" max="2" width="15.42578125" bestFit="1" customWidth="1"/>
    <col min="3" max="3" width="10.7109375" style="50" bestFit="1" customWidth="1"/>
    <col min="4" max="4" width="11.42578125" style="76" bestFit="1" customWidth="1"/>
    <col min="5" max="5" width="12.5703125" bestFit="1" customWidth="1"/>
    <col min="6" max="6" width="11.28515625" bestFit="1" customWidth="1"/>
    <col min="7" max="7" width="15.28515625" bestFit="1" customWidth="1"/>
    <col min="8" max="8" width="15.42578125" bestFit="1" customWidth="1"/>
    <col min="9" max="9" width="9.140625" style="50"/>
    <col min="11" max="11" width="11.5703125" bestFit="1" customWidth="1"/>
    <col min="12" max="12" width="19" style="76" bestFit="1" customWidth="1"/>
    <col min="13" max="13" width="10.140625" style="50" customWidth="1"/>
    <col min="14" max="14" width="27.5703125" bestFit="1" customWidth="1"/>
    <col min="15" max="15" width="17.42578125" bestFit="1" customWidth="1"/>
    <col min="16" max="16" width="16.85546875" bestFit="1" customWidth="1"/>
    <col min="17" max="17" width="9.140625" style="50" customWidth="1"/>
    <col min="18" max="18" width="14.5703125" bestFit="1" customWidth="1"/>
    <col min="19" max="19" width="18" bestFit="1" customWidth="1"/>
    <col min="20" max="20" width="15.42578125" style="76" bestFit="1" customWidth="1"/>
    <col min="21" max="21" width="10" style="50" bestFit="1" customWidth="1"/>
    <col min="22" max="22" width="8.140625" bestFit="1" customWidth="1"/>
    <col min="23" max="23" width="13.5703125" bestFit="1" customWidth="1"/>
    <col min="24" max="24" width="16.85546875" bestFit="1" customWidth="1"/>
    <col min="25" max="25" width="16.85546875" style="83" bestFit="1" customWidth="1"/>
    <col min="26" max="26" width="8.7109375" style="50" bestFit="1" customWidth="1"/>
    <col min="27" max="27" width="13.28515625" bestFit="1" customWidth="1"/>
    <col min="28" max="28" width="16.85546875" bestFit="1" customWidth="1"/>
    <col min="29" max="29" width="9.140625" style="50"/>
    <col min="30" max="30" width="14.42578125" bestFit="1" customWidth="1"/>
    <col min="31" max="31" width="11.28515625" bestFit="1" customWidth="1"/>
    <col min="32" max="32" width="16.85546875" bestFit="1" customWidth="1"/>
    <col min="33" max="33" width="9.140625" style="50"/>
    <col min="35" max="35" width="11.28515625" bestFit="1" customWidth="1"/>
    <col min="36" max="36" width="16.85546875" bestFit="1" customWidth="1"/>
    <col min="37" max="37" width="9.140625" style="50"/>
    <col min="40" max="40" width="19.28515625" bestFit="1" customWidth="1"/>
    <col min="41" max="41" width="18.42578125" bestFit="1" customWidth="1"/>
    <col min="42" max="42" width="19.28515625" bestFit="1" customWidth="1"/>
    <col min="43" max="43" width="18.42578125" bestFit="1" customWidth="1"/>
    <col min="44" max="44" width="11.28515625" style="50" bestFit="1" customWidth="1"/>
    <col min="45" max="45" width="11.28515625" bestFit="1" customWidth="1"/>
    <col min="47" max="47" width="26" bestFit="1" customWidth="1"/>
    <col min="48" max="48" width="18.5703125" bestFit="1" customWidth="1"/>
    <col min="49" max="58" width="12.5703125" bestFit="1" customWidth="1"/>
    <col min="59" max="59" width="11.28515625" bestFit="1" customWidth="1"/>
  </cols>
  <sheetData>
    <row r="1" spans="1:49" x14ac:dyDescent="0.25">
      <c r="A1" s="51" t="s">
        <v>0</v>
      </c>
      <c r="B1" s="51"/>
      <c r="F1" s="50" t="s">
        <v>1</v>
      </c>
      <c r="G1" s="50"/>
      <c r="H1" s="50"/>
      <c r="J1" s="50" t="s">
        <v>2</v>
      </c>
      <c r="K1" s="50"/>
      <c r="L1" s="77"/>
      <c r="N1" s="50" t="s">
        <v>3</v>
      </c>
      <c r="O1" s="50"/>
      <c r="P1" s="50"/>
      <c r="R1" s="50" t="s">
        <v>4</v>
      </c>
      <c r="S1" s="50"/>
      <c r="T1" s="50"/>
      <c r="V1" s="50"/>
      <c r="W1" s="50"/>
      <c r="X1" s="50"/>
      <c r="Y1" s="50"/>
      <c r="Z1" s="50" t="s">
        <v>255</v>
      </c>
      <c r="AA1" s="50"/>
      <c r="AB1" s="50" t="s">
        <v>14</v>
      </c>
      <c r="AD1" s="50" t="s">
        <v>5</v>
      </c>
      <c r="AE1" s="50"/>
      <c r="AF1" s="50"/>
      <c r="AH1" s="50" t="s">
        <v>6</v>
      </c>
      <c r="AI1" s="50"/>
      <c r="AJ1" s="50"/>
      <c r="AL1" s="50"/>
      <c r="AM1" s="50"/>
      <c r="AN1" s="50"/>
      <c r="AO1" s="50"/>
      <c r="AP1" s="50"/>
      <c r="AQ1" s="50" t="s">
        <v>246</v>
      </c>
      <c r="AS1" s="50"/>
      <c r="AT1" s="50"/>
      <c r="AU1" s="50"/>
      <c r="AV1" s="50"/>
      <c r="AW1" s="50" t="s">
        <v>251</v>
      </c>
    </row>
    <row r="2" spans="1:49" x14ac:dyDescent="0.25">
      <c r="F2" s="48" t="s">
        <v>7</v>
      </c>
      <c r="G2" t="s">
        <v>8</v>
      </c>
      <c r="L2" s="76" t="s">
        <v>9</v>
      </c>
      <c r="S2" s="48" t="s">
        <v>10</v>
      </c>
      <c r="T2" s="76" t="s">
        <v>11</v>
      </c>
      <c r="W2" s="48" t="s">
        <v>243</v>
      </c>
      <c r="X2" s="84" t="s">
        <v>13</v>
      </c>
      <c r="Y2"/>
      <c r="AA2" s="48" t="s">
        <v>14</v>
      </c>
      <c r="AB2" s="76" t="s">
        <v>13</v>
      </c>
    </row>
    <row r="3" spans="1:49" x14ac:dyDescent="0.25">
      <c r="A3" s="48" t="s">
        <v>7</v>
      </c>
      <c r="B3" t="s">
        <v>11</v>
      </c>
      <c r="F3" t="s">
        <v>15</v>
      </c>
      <c r="G3" s="85">
        <v>93</v>
      </c>
      <c r="K3" s="81">
        <f>L3</f>
        <v>10395.588926206898</v>
      </c>
      <c r="L3" s="76">
        <v>10395.588926206898</v>
      </c>
      <c r="O3" s="48" t="s">
        <v>16</v>
      </c>
      <c r="P3" t="s">
        <v>13</v>
      </c>
      <c r="S3" t="s">
        <v>17</v>
      </c>
      <c r="T3" s="76">
        <v>762152.31544000003</v>
      </c>
      <c r="W3" t="s">
        <v>38</v>
      </c>
      <c r="X3" s="84">
        <v>3</v>
      </c>
      <c r="Y3"/>
      <c r="AA3" t="s">
        <v>249</v>
      </c>
      <c r="AB3" s="78">
        <v>0.18965517241379309</v>
      </c>
      <c r="AE3" s="48" t="s">
        <v>20</v>
      </c>
      <c r="AF3" s="76" t="s">
        <v>13</v>
      </c>
      <c r="AI3" s="48" t="s">
        <v>21</v>
      </c>
      <c r="AJ3" s="76" t="s">
        <v>13</v>
      </c>
    </row>
    <row r="4" spans="1:49" x14ac:dyDescent="0.25">
      <c r="A4" t="s">
        <v>15</v>
      </c>
      <c r="B4" s="49">
        <v>960218.40544</v>
      </c>
      <c r="D4" s="76">
        <f>B4</f>
        <v>960218.40544</v>
      </c>
      <c r="F4" t="s">
        <v>22</v>
      </c>
      <c r="G4" s="85">
        <v>16</v>
      </c>
      <c r="O4" t="s">
        <v>51</v>
      </c>
      <c r="P4" s="85">
        <v>1</v>
      </c>
      <c r="S4" t="s">
        <v>24</v>
      </c>
      <c r="T4" s="76">
        <v>251234</v>
      </c>
      <c r="W4" t="s">
        <v>32</v>
      </c>
      <c r="X4" s="84">
        <v>8</v>
      </c>
      <c r="Y4"/>
      <c r="AA4" t="s">
        <v>26</v>
      </c>
      <c r="AB4" s="78">
        <v>0.41379310344827586</v>
      </c>
      <c r="AE4" t="s">
        <v>27</v>
      </c>
      <c r="AF4" s="76">
        <v>57</v>
      </c>
      <c r="AI4" t="s">
        <v>34</v>
      </c>
      <c r="AJ4" s="76">
        <v>33</v>
      </c>
      <c r="AN4" s="48" t="s">
        <v>14</v>
      </c>
      <c r="AO4" s="48" t="s">
        <v>67</v>
      </c>
      <c r="AP4" s="76" t="s">
        <v>244</v>
      </c>
      <c r="AU4" t="s">
        <v>250</v>
      </c>
    </row>
    <row r="5" spans="1:49" x14ac:dyDescent="0.25">
      <c r="A5" t="s">
        <v>22</v>
      </c>
      <c r="B5" s="49">
        <v>184135.91</v>
      </c>
      <c r="F5" t="s">
        <v>29</v>
      </c>
      <c r="G5" s="85">
        <v>7</v>
      </c>
      <c r="O5" t="s">
        <v>48</v>
      </c>
      <c r="P5" s="85">
        <v>2</v>
      </c>
      <c r="S5" t="s">
        <v>31</v>
      </c>
      <c r="T5" s="76">
        <v>150806</v>
      </c>
      <c r="W5" t="s">
        <v>256</v>
      </c>
      <c r="X5" s="84">
        <v>12</v>
      </c>
      <c r="Y5"/>
      <c r="AA5" t="s">
        <v>19</v>
      </c>
      <c r="AB5" s="78">
        <v>0.39655172413793105</v>
      </c>
      <c r="AE5" t="s">
        <v>33</v>
      </c>
      <c r="AF5" s="76">
        <v>32</v>
      </c>
      <c r="AI5" t="s">
        <v>28</v>
      </c>
      <c r="AJ5" s="76">
        <v>83</v>
      </c>
      <c r="AN5" t="s">
        <v>252</v>
      </c>
      <c r="AO5" t="s">
        <v>254</v>
      </c>
      <c r="AP5" s="78">
        <v>0.80434782608695654</v>
      </c>
      <c r="AU5">
        <v>11</v>
      </c>
      <c r="AV5">
        <f>GETPIVOTDATA("[Measures].[Distinct Count of اللون المعدن]",$AU$4)</f>
        <v>11</v>
      </c>
    </row>
    <row r="6" spans="1:49" x14ac:dyDescent="0.25">
      <c r="A6" t="s">
        <v>29</v>
      </c>
      <c r="B6" s="49">
        <v>61534</v>
      </c>
      <c r="E6" s="49">
        <f>G6</f>
        <v>116</v>
      </c>
      <c r="F6" t="s">
        <v>35</v>
      </c>
      <c r="G6" s="49">
        <v>116</v>
      </c>
      <c r="H6">
        <f>GETPIVOTDATA("سعر البيع ",$F$2)</f>
        <v>116</v>
      </c>
      <c r="O6" t="s">
        <v>44</v>
      </c>
      <c r="P6" s="85">
        <v>3</v>
      </c>
      <c r="S6" t="s">
        <v>37</v>
      </c>
      <c r="T6" s="76">
        <v>22000</v>
      </c>
      <c r="W6" t="s">
        <v>25</v>
      </c>
      <c r="X6" s="84">
        <v>15</v>
      </c>
      <c r="Y6"/>
      <c r="AA6" t="s">
        <v>35</v>
      </c>
      <c r="AB6" s="76">
        <v>1</v>
      </c>
      <c r="AE6" t="s">
        <v>39</v>
      </c>
      <c r="AF6" s="76">
        <v>8</v>
      </c>
      <c r="AI6" t="s">
        <v>35</v>
      </c>
      <c r="AJ6" s="76">
        <v>116</v>
      </c>
      <c r="AO6" t="s">
        <v>257</v>
      </c>
      <c r="AP6" s="78">
        <v>0.19565217391304349</v>
      </c>
    </row>
    <row r="7" spans="1:49" x14ac:dyDescent="0.25">
      <c r="A7" t="s">
        <v>35</v>
      </c>
      <c r="B7" s="49">
        <v>1205888.31544</v>
      </c>
      <c r="D7" s="76">
        <f>GETPIVOTDATA("سعر البيع ",$A$3)</f>
        <v>1205888.31544</v>
      </c>
      <c r="O7" t="s">
        <v>40</v>
      </c>
      <c r="P7" s="85">
        <v>8</v>
      </c>
      <c r="S7" t="s">
        <v>41</v>
      </c>
      <c r="T7" s="76">
        <v>10396</v>
      </c>
      <c r="W7" t="s">
        <v>18</v>
      </c>
      <c r="X7" s="84">
        <v>78</v>
      </c>
      <c r="Y7"/>
      <c r="AE7" t="s">
        <v>43</v>
      </c>
      <c r="AF7" s="76">
        <v>8</v>
      </c>
      <c r="AN7" t="s">
        <v>253</v>
      </c>
      <c r="AP7" s="82">
        <v>1</v>
      </c>
    </row>
    <row r="8" spans="1:49" x14ac:dyDescent="0.25">
      <c r="O8" t="s">
        <v>36</v>
      </c>
      <c r="P8" s="85">
        <v>10</v>
      </c>
      <c r="S8" t="s">
        <v>45</v>
      </c>
      <c r="T8" s="76">
        <v>9300</v>
      </c>
      <c r="W8" t="s">
        <v>35</v>
      </c>
      <c r="X8" s="84">
        <v>116</v>
      </c>
      <c r="Y8"/>
      <c r="AE8" t="s">
        <v>47</v>
      </c>
      <c r="AF8" s="76">
        <v>7</v>
      </c>
      <c r="AN8" t="s">
        <v>35</v>
      </c>
      <c r="AP8" s="82">
        <v>1</v>
      </c>
    </row>
    <row r="9" spans="1:49" x14ac:dyDescent="0.25">
      <c r="O9" t="s">
        <v>30</v>
      </c>
      <c r="P9" s="85">
        <v>17</v>
      </c>
      <c r="S9" t="s">
        <v>35</v>
      </c>
      <c r="T9" s="76">
        <v>1205888.31544</v>
      </c>
      <c r="Y9"/>
      <c r="AE9" t="s">
        <v>50</v>
      </c>
      <c r="AF9" s="76">
        <v>3</v>
      </c>
      <c r="AN9" t="s">
        <v>29</v>
      </c>
      <c r="AO9" t="s">
        <v>247</v>
      </c>
      <c r="AP9" s="82">
        <v>0.18965517241379309</v>
      </c>
    </row>
    <row r="10" spans="1:49" x14ac:dyDescent="0.25">
      <c r="O10" t="s">
        <v>23</v>
      </c>
      <c r="P10" s="85">
        <v>75</v>
      </c>
      <c r="Y10"/>
      <c r="AE10" t="s">
        <v>53</v>
      </c>
      <c r="AF10" s="76">
        <v>1</v>
      </c>
      <c r="AN10" t="s">
        <v>248</v>
      </c>
      <c r="AP10" s="82">
        <v>0.18965517241379309</v>
      </c>
    </row>
    <row r="11" spans="1:49" x14ac:dyDescent="0.25">
      <c r="O11" t="s">
        <v>35</v>
      </c>
      <c r="P11" s="49">
        <v>116</v>
      </c>
      <c r="Y11"/>
      <c r="AE11" t="s">
        <v>35</v>
      </c>
      <c r="AF11" s="76">
        <v>116</v>
      </c>
      <c r="AN11" t="s">
        <v>19</v>
      </c>
      <c r="AO11" t="s">
        <v>254</v>
      </c>
      <c r="AP11" s="78">
        <v>0.31896551724137934</v>
      </c>
    </row>
    <row r="12" spans="1:49" x14ac:dyDescent="0.25">
      <c r="Y12"/>
      <c r="AO12" t="s">
        <v>72</v>
      </c>
      <c r="AP12" s="78">
        <v>7.7586206896551727E-2</v>
      </c>
    </row>
    <row r="13" spans="1:49" x14ac:dyDescent="0.25">
      <c r="Y13"/>
      <c r="AN13" t="s">
        <v>245</v>
      </c>
      <c r="AP13" s="82">
        <v>0.39655172413793105</v>
      </c>
    </row>
    <row r="14" spans="1:49" x14ac:dyDescent="0.25">
      <c r="Y14"/>
      <c r="AN14" t="s">
        <v>35</v>
      </c>
      <c r="AP14" s="82">
        <v>1</v>
      </c>
    </row>
    <row r="15" spans="1:49" x14ac:dyDescent="0.25">
      <c r="Y15"/>
    </row>
    <row r="16" spans="1:49" x14ac:dyDescent="0.25">
      <c r="Y16"/>
    </row>
    <row r="17" spans="25:25" x14ac:dyDescent="0.25">
      <c r="Y17"/>
    </row>
    <row r="18" spans="25:25" x14ac:dyDescent="0.25">
      <c r="Y18"/>
    </row>
    <row r="19" spans="25:25" x14ac:dyDescent="0.25">
      <c r="Y1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B864"/>
  <sheetViews>
    <sheetView zoomScale="70" zoomScaleNormal="70" workbookViewId="0">
      <selection activeCell="P10" sqref="P10:P117"/>
    </sheetView>
  </sheetViews>
  <sheetFormatPr defaultColWidth="8.85546875" defaultRowHeight="15" x14ac:dyDescent="0.25"/>
  <cols>
    <col min="1" max="1" width="16.85546875" style="1" customWidth="1"/>
    <col min="2" max="2" width="11.7109375" style="1" bestFit="1" customWidth="1"/>
    <col min="3" max="3" width="9.85546875" style="1" bestFit="1" customWidth="1"/>
    <col min="4" max="4" width="12.5703125" style="1" bestFit="1" customWidth="1"/>
    <col min="5" max="5" width="12.5703125" style="1" customWidth="1"/>
    <col min="6" max="6" width="12.7109375" style="1" hidden="1" customWidth="1"/>
    <col min="7" max="7" width="18.28515625" style="1" bestFit="1" customWidth="1"/>
    <col min="8" max="8" width="12.28515625" style="1" bestFit="1" customWidth="1"/>
    <col min="9" max="9" width="9.42578125" style="1" bestFit="1" customWidth="1"/>
    <col min="10" max="10" width="9.140625" style="1" bestFit="1" customWidth="1"/>
    <col min="11" max="11" width="11" style="1" bestFit="1" customWidth="1"/>
    <col min="12" max="12" width="13.85546875" style="1" customWidth="1"/>
    <col min="13" max="13" width="37.28515625" style="1" bestFit="1" customWidth="1"/>
    <col min="14" max="14" width="11.5703125" style="43" bestFit="1" customWidth="1"/>
    <col min="15" max="15" width="13.5703125" style="4" bestFit="1" customWidth="1"/>
    <col min="16" max="16" width="24.85546875" style="1" bestFit="1" customWidth="1"/>
    <col min="17" max="17" width="12.5703125" bestFit="1" customWidth="1"/>
    <col min="18" max="18" width="18.28515625" style="1" bestFit="1" customWidth="1"/>
    <col min="19" max="16384" width="8.85546875" style="1"/>
  </cols>
  <sheetData>
    <row r="1" spans="1:18" s="75" customFormat="1" ht="20.100000000000001" customHeight="1" x14ac:dyDescent="0.25">
      <c r="A1" s="68" t="s">
        <v>57</v>
      </c>
      <c r="B1" s="69" t="s">
        <v>21</v>
      </c>
      <c r="C1" s="70" t="s">
        <v>20</v>
      </c>
      <c r="D1" s="69" t="s">
        <v>58</v>
      </c>
      <c r="E1" s="69" t="s">
        <v>16</v>
      </c>
      <c r="F1" s="70" t="s">
        <v>59</v>
      </c>
      <c r="G1" s="70" t="s">
        <v>10</v>
      </c>
      <c r="H1" s="70" t="s">
        <v>60</v>
      </c>
      <c r="I1" s="70" t="s">
        <v>61</v>
      </c>
      <c r="J1" s="69" t="s">
        <v>62</v>
      </c>
      <c r="K1" s="70" t="s">
        <v>12</v>
      </c>
      <c r="L1" s="70" t="s">
        <v>63</v>
      </c>
      <c r="M1" s="71" t="s">
        <v>64</v>
      </c>
      <c r="N1" s="72" t="s">
        <v>65</v>
      </c>
      <c r="O1" s="73" t="s">
        <v>66</v>
      </c>
      <c r="P1" s="69" t="s">
        <v>67</v>
      </c>
      <c r="Q1" s="69" t="s">
        <v>7</v>
      </c>
      <c r="R1" s="74" t="s">
        <v>14</v>
      </c>
    </row>
    <row r="2" spans="1:18" ht="20.100000000000001" customHeight="1" x14ac:dyDescent="0.25">
      <c r="A2" s="52" t="s">
        <v>68</v>
      </c>
      <c r="B2" s="15" t="s">
        <v>28</v>
      </c>
      <c r="C2" s="15" t="s">
        <v>33</v>
      </c>
      <c r="D2" s="15" t="s">
        <v>23</v>
      </c>
      <c r="E2" s="15" t="str">
        <f>TRIM(CLEAN(D2))</f>
        <v>هومزمارت</v>
      </c>
      <c r="F2" s="15" t="s">
        <v>17</v>
      </c>
      <c r="G2" s="15" t="str">
        <f t="shared" ref="G2:G33" si="0">TRIM(CLEAN(F2))</f>
        <v>سرير</v>
      </c>
      <c r="H2" s="15" t="s">
        <v>69</v>
      </c>
      <c r="I2" s="15"/>
      <c r="J2" s="15"/>
      <c r="K2" s="15" t="s">
        <v>25</v>
      </c>
      <c r="L2" s="15" t="s">
        <v>25</v>
      </c>
      <c r="M2" s="16" t="s">
        <v>70</v>
      </c>
      <c r="N2" s="37">
        <v>10160</v>
      </c>
      <c r="O2" s="17" t="s">
        <v>71</v>
      </c>
      <c r="P2" s="15" t="s">
        <v>72</v>
      </c>
      <c r="Q2" s="15" t="s">
        <v>15</v>
      </c>
      <c r="R2" s="60" t="s">
        <v>26</v>
      </c>
    </row>
    <row r="3" spans="1:18" ht="20.100000000000001" customHeight="1" x14ac:dyDescent="0.25">
      <c r="A3" s="21" t="s">
        <v>73</v>
      </c>
      <c r="B3" s="15" t="s">
        <v>28</v>
      </c>
      <c r="C3" s="16" t="s">
        <v>47</v>
      </c>
      <c r="D3" s="16" t="s">
        <v>23</v>
      </c>
      <c r="E3" s="15" t="str">
        <f t="shared" ref="E3:E33" si="1">TRIM(CLEAN(D3))</f>
        <v>هومزمارت</v>
      </c>
      <c r="F3" s="16" t="s">
        <v>17</v>
      </c>
      <c r="G3" s="15" t="str">
        <f t="shared" si="0"/>
        <v>سرير</v>
      </c>
      <c r="H3" s="16" t="s">
        <v>69</v>
      </c>
      <c r="I3" s="16"/>
      <c r="J3" s="16"/>
      <c r="K3" s="16" t="s">
        <v>18</v>
      </c>
      <c r="L3" s="16" t="s">
        <v>18</v>
      </c>
      <c r="M3" s="16" t="s">
        <v>74</v>
      </c>
      <c r="N3" s="38">
        <v>10160</v>
      </c>
      <c r="O3" s="18" t="s">
        <v>75</v>
      </c>
      <c r="P3" s="15" t="s">
        <v>72</v>
      </c>
      <c r="Q3" s="15" t="s">
        <v>15</v>
      </c>
      <c r="R3" s="60" t="s">
        <v>26</v>
      </c>
    </row>
    <row r="4" spans="1:18" ht="20.100000000000001" customHeight="1" x14ac:dyDescent="0.25">
      <c r="A4" s="24" t="s">
        <v>76</v>
      </c>
      <c r="B4" s="15" t="s">
        <v>28</v>
      </c>
      <c r="C4" s="9" t="s">
        <v>47</v>
      </c>
      <c r="D4" s="9" t="s">
        <v>23</v>
      </c>
      <c r="E4" s="9" t="str">
        <f t="shared" si="1"/>
        <v>هومزمارت</v>
      </c>
      <c r="F4" s="9" t="s">
        <v>17</v>
      </c>
      <c r="G4" s="15" t="str">
        <f t="shared" si="0"/>
        <v>سرير</v>
      </c>
      <c r="H4" s="9" t="s">
        <v>77</v>
      </c>
      <c r="I4" s="9" t="s">
        <v>78</v>
      </c>
      <c r="J4" s="9">
        <v>90</v>
      </c>
      <c r="K4" s="9" t="s">
        <v>38</v>
      </c>
      <c r="L4" s="9"/>
      <c r="M4" s="9" t="s">
        <v>79</v>
      </c>
      <c r="N4" s="39">
        <v>11455</v>
      </c>
      <c r="O4" s="11" t="s">
        <v>75</v>
      </c>
      <c r="P4" s="9"/>
      <c r="Q4" s="9" t="s">
        <v>29</v>
      </c>
      <c r="R4" s="61" t="s">
        <v>249</v>
      </c>
    </row>
    <row r="5" spans="1:18" ht="20.100000000000001" customHeight="1" x14ac:dyDescent="0.25">
      <c r="A5" s="21" t="s">
        <v>80</v>
      </c>
      <c r="B5" s="15" t="s">
        <v>28</v>
      </c>
      <c r="C5" s="16" t="s">
        <v>50</v>
      </c>
      <c r="D5" s="16" t="s">
        <v>23</v>
      </c>
      <c r="E5" s="16" t="str">
        <f t="shared" si="1"/>
        <v>هومزمارت</v>
      </c>
      <c r="F5" s="16" t="s">
        <v>31</v>
      </c>
      <c r="G5" s="15" t="str">
        <f t="shared" si="0"/>
        <v>تربيزه</v>
      </c>
      <c r="H5" s="16" t="s">
        <v>81</v>
      </c>
      <c r="I5" s="16"/>
      <c r="J5" s="16"/>
      <c r="K5" s="16" t="s">
        <v>18</v>
      </c>
      <c r="L5" s="16"/>
      <c r="M5" s="16" t="s">
        <v>82</v>
      </c>
      <c r="N5" s="38">
        <v>8642</v>
      </c>
      <c r="O5" s="17" t="s">
        <v>71</v>
      </c>
      <c r="P5" s="15" t="s">
        <v>72</v>
      </c>
      <c r="Q5" s="15" t="s">
        <v>15</v>
      </c>
      <c r="R5" s="60" t="s">
        <v>26</v>
      </c>
    </row>
    <row r="6" spans="1:18" ht="20.100000000000001" customHeight="1" x14ac:dyDescent="0.25">
      <c r="A6" s="24" t="s">
        <v>83</v>
      </c>
      <c r="B6" s="15" t="s">
        <v>28</v>
      </c>
      <c r="C6" s="9" t="s">
        <v>47</v>
      </c>
      <c r="D6" s="9" t="s">
        <v>23</v>
      </c>
      <c r="E6" s="9" t="str">
        <f t="shared" si="1"/>
        <v>هومزمارت</v>
      </c>
      <c r="F6" s="9" t="s">
        <v>17</v>
      </c>
      <c r="G6" s="15" t="str">
        <f t="shared" si="0"/>
        <v>سرير</v>
      </c>
      <c r="H6" s="9" t="s">
        <v>77</v>
      </c>
      <c r="I6" s="9" t="s">
        <v>84</v>
      </c>
      <c r="J6" s="9">
        <v>100</v>
      </c>
      <c r="K6" s="9" t="s">
        <v>32</v>
      </c>
      <c r="L6" s="9"/>
      <c r="M6" s="9" t="s">
        <v>85</v>
      </c>
      <c r="N6" s="39">
        <v>12833</v>
      </c>
      <c r="O6" s="11" t="s">
        <v>75</v>
      </c>
      <c r="P6" s="9"/>
      <c r="Q6" s="9" t="s">
        <v>29</v>
      </c>
      <c r="R6" s="61" t="s">
        <v>249</v>
      </c>
    </row>
    <row r="7" spans="1:18" ht="20.100000000000001" customHeight="1" x14ac:dyDescent="0.25">
      <c r="A7" s="21" t="s">
        <v>86</v>
      </c>
      <c r="B7" s="16" t="s">
        <v>34</v>
      </c>
      <c r="C7" s="16" t="s">
        <v>33</v>
      </c>
      <c r="D7" s="16" t="s">
        <v>86</v>
      </c>
      <c r="E7" s="16" t="str">
        <f t="shared" si="1"/>
        <v>شيك هومز</v>
      </c>
      <c r="F7" s="16" t="s">
        <v>24</v>
      </c>
      <c r="G7" s="15" t="str">
        <f t="shared" si="0"/>
        <v>كنبه</v>
      </c>
      <c r="H7" s="16" t="s">
        <v>87</v>
      </c>
      <c r="I7" s="16"/>
      <c r="J7" s="16"/>
      <c r="K7" s="16" t="s">
        <v>32</v>
      </c>
      <c r="L7" s="16"/>
      <c r="M7" s="16" t="s">
        <v>88</v>
      </c>
      <c r="N7" s="38">
        <v>14550</v>
      </c>
      <c r="O7" s="17" t="s">
        <v>71</v>
      </c>
      <c r="P7" s="15" t="s">
        <v>72</v>
      </c>
      <c r="Q7" s="15" t="s">
        <v>15</v>
      </c>
      <c r="R7" s="60" t="s">
        <v>19</v>
      </c>
    </row>
    <row r="8" spans="1:18" ht="20.100000000000001" customHeight="1" x14ac:dyDescent="0.25">
      <c r="A8" s="21" t="s">
        <v>89</v>
      </c>
      <c r="B8" s="15" t="s">
        <v>28</v>
      </c>
      <c r="C8" s="16" t="s">
        <v>27</v>
      </c>
      <c r="D8" s="16" t="s">
        <v>44</v>
      </c>
      <c r="E8" s="16" t="str">
        <f t="shared" si="1"/>
        <v>فيس بوك</v>
      </c>
      <c r="F8" s="16" t="s">
        <v>24</v>
      </c>
      <c r="G8" s="15" t="str">
        <f t="shared" si="0"/>
        <v>كنبه</v>
      </c>
      <c r="H8" s="16" t="s">
        <v>87</v>
      </c>
      <c r="I8" s="16"/>
      <c r="J8" s="16"/>
      <c r="K8" s="16" t="s">
        <v>32</v>
      </c>
      <c r="L8" s="16"/>
      <c r="M8" s="16" t="s">
        <v>88</v>
      </c>
      <c r="N8" s="38">
        <v>12000</v>
      </c>
      <c r="O8" s="18" t="s">
        <v>75</v>
      </c>
      <c r="P8" s="15" t="s">
        <v>72</v>
      </c>
      <c r="Q8" s="15" t="s">
        <v>15</v>
      </c>
      <c r="R8" s="60" t="s">
        <v>26</v>
      </c>
    </row>
    <row r="9" spans="1:18" ht="20.100000000000001" customHeight="1" x14ac:dyDescent="0.25">
      <c r="A9" s="21" t="s">
        <v>90</v>
      </c>
      <c r="B9" s="15" t="s">
        <v>28</v>
      </c>
      <c r="C9" s="16" t="s">
        <v>33</v>
      </c>
      <c r="D9" s="16" t="s">
        <v>23</v>
      </c>
      <c r="E9" s="16" t="str">
        <f t="shared" si="1"/>
        <v>هومزمارت</v>
      </c>
      <c r="F9" s="16" t="s">
        <v>17</v>
      </c>
      <c r="G9" s="15" t="str">
        <f t="shared" si="0"/>
        <v>سرير</v>
      </c>
      <c r="H9" s="16" t="s">
        <v>91</v>
      </c>
      <c r="I9" s="16"/>
      <c r="J9" s="16"/>
      <c r="K9" s="16" t="s">
        <v>25</v>
      </c>
      <c r="L9" s="16"/>
      <c r="M9" s="16" t="s">
        <v>92</v>
      </c>
      <c r="N9" s="38">
        <v>7228</v>
      </c>
      <c r="O9" s="17" t="s">
        <v>71</v>
      </c>
      <c r="P9" s="15" t="s">
        <v>72</v>
      </c>
      <c r="Q9" s="15" t="s">
        <v>15</v>
      </c>
      <c r="R9" s="60" t="s">
        <v>19</v>
      </c>
    </row>
    <row r="10" spans="1:18" ht="20.100000000000001" customHeight="1" x14ac:dyDescent="0.25">
      <c r="A10" s="21" t="s">
        <v>93</v>
      </c>
      <c r="B10" s="16" t="s">
        <v>34</v>
      </c>
      <c r="C10" s="16" t="s">
        <v>27</v>
      </c>
      <c r="D10" s="16" t="s">
        <v>40</v>
      </c>
      <c r="E10" s="16" t="str">
        <f t="shared" si="1"/>
        <v>تاكى</v>
      </c>
      <c r="F10" s="16" t="s">
        <v>37</v>
      </c>
      <c r="G10" s="15" t="str">
        <f t="shared" si="0"/>
        <v>ركنة</v>
      </c>
      <c r="H10" s="16" t="s">
        <v>94</v>
      </c>
      <c r="I10" s="16"/>
      <c r="J10" s="16"/>
      <c r="K10" s="16" t="s">
        <v>18</v>
      </c>
      <c r="L10" s="16"/>
      <c r="M10" s="16" t="s">
        <v>95</v>
      </c>
      <c r="N10" s="38">
        <v>22000</v>
      </c>
      <c r="O10" s="18" t="s">
        <v>75</v>
      </c>
      <c r="P10" s="16" t="s">
        <v>254</v>
      </c>
      <c r="Q10" s="15" t="s">
        <v>15</v>
      </c>
      <c r="R10" s="60" t="s">
        <v>19</v>
      </c>
    </row>
    <row r="11" spans="1:18" ht="20.100000000000001" customHeight="1" x14ac:dyDescent="0.25">
      <c r="A11" s="12" t="s">
        <v>93</v>
      </c>
      <c r="B11" s="16" t="s">
        <v>34</v>
      </c>
      <c r="C11" s="6" t="s">
        <v>27</v>
      </c>
      <c r="D11" s="6" t="s">
        <v>93</v>
      </c>
      <c r="E11" s="6" t="str">
        <f t="shared" si="1"/>
        <v>تاكى</v>
      </c>
      <c r="F11" s="6" t="s">
        <v>96</v>
      </c>
      <c r="G11" s="15" t="str">
        <f t="shared" si="0"/>
        <v>كنبه</v>
      </c>
      <c r="H11" s="6" t="s">
        <v>97</v>
      </c>
      <c r="I11" s="6"/>
      <c r="J11" s="6"/>
      <c r="K11" s="6" t="s">
        <v>18</v>
      </c>
      <c r="L11" s="6"/>
      <c r="M11" s="6" t="s">
        <v>98</v>
      </c>
      <c r="N11" s="47">
        <v>16000</v>
      </c>
      <c r="O11" s="8" t="s">
        <v>75</v>
      </c>
      <c r="P11" s="6"/>
      <c r="Q11" s="6" t="s">
        <v>22</v>
      </c>
      <c r="R11" s="61" t="s">
        <v>249</v>
      </c>
    </row>
    <row r="12" spans="1:18" ht="20.100000000000001" customHeight="1" x14ac:dyDescent="0.25">
      <c r="A12" s="21" t="s">
        <v>93</v>
      </c>
      <c r="B12" s="16" t="s">
        <v>34</v>
      </c>
      <c r="C12" s="16" t="s">
        <v>27</v>
      </c>
      <c r="D12" s="16" t="s">
        <v>40</v>
      </c>
      <c r="E12" s="16" t="str">
        <f t="shared" si="1"/>
        <v>تاكى</v>
      </c>
      <c r="F12" s="16" t="s">
        <v>24</v>
      </c>
      <c r="G12" s="15" t="str">
        <f t="shared" si="0"/>
        <v>كنبه</v>
      </c>
      <c r="H12" s="16" t="s">
        <v>97</v>
      </c>
      <c r="I12" s="16"/>
      <c r="J12" s="16"/>
      <c r="K12" s="16" t="s">
        <v>18</v>
      </c>
      <c r="L12" s="16"/>
      <c r="M12" s="16" t="s">
        <v>99</v>
      </c>
      <c r="N12" s="38">
        <v>6000</v>
      </c>
      <c r="O12" s="18" t="s">
        <v>75</v>
      </c>
      <c r="P12" s="16" t="s">
        <v>254</v>
      </c>
      <c r="Q12" s="15" t="s">
        <v>15</v>
      </c>
      <c r="R12" s="60" t="s">
        <v>19</v>
      </c>
    </row>
    <row r="13" spans="1:18" ht="20.100000000000001" customHeight="1" x14ac:dyDescent="0.25">
      <c r="A13" s="21" t="s">
        <v>100</v>
      </c>
      <c r="B13" s="15" t="s">
        <v>28</v>
      </c>
      <c r="C13" s="16" t="s">
        <v>27</v>
      </c>
      <c r="D13" s="16" t="s">
        <v>23</v>
      </c>
      <c r="E13" s="16" t="str">
        <f t="shared" si="1"/>
        <v>هومزمارت</v>
      </c>
      <c r="F13" s="16" t="s">
        <v>17</v>
      </c>
      <c r="G13" s="15" t="str">
        <f t="shared" si="0"/>
        <v>سرير</v>
      </c>
      <c r="H13" s="16" t="s">
        <v>77</v>
      </c>
      <c r="I13" s="16" t="s">
        <v>84</v>
      </c>
      <c r="J13" s="16">
        <v>80</v>
      </c>
      <c r="K13" s="16" t="s">
        <v>25</v>
      </c>
      <c r="L13" s="16"/>
      <c r="M13" s="16" t="s">
        <v>101</v>
      </c>
      <c r="N13" s="38">
        <v>10499</v>
      </c>
      <c r="O13" s="18" t="s">
        <v>75</v>
      </c>
      <c r="P13" s="15" t="s">
        <v>72</v>
      </c>
      <c r="Q13" s="15" t="s">
        <v>15</v>
      </c>
      <c r="R13" s="60" t="s">
        <v>26</v>
      </c>
    </row>
    <row r="14" spans="1:18" ht="20.100000000000001" customHeight="1" x14ac:dyDescent="0.25">
      <c r="A14" s="53" t="s">
        <v>102</v>
      </c>
      <c r="B14" s="15" t="s">
        <v>28</v>
      </c>
      <c r="C14" s="6" t="s">
        <v>33</v>
      </c>
      <c r="D14" s="7" t="s">
        <v>23</v>
      </c>
      <c r="E14" s="7" t="str">
        <f t="shared" si="1"/>
        <v>هومزمارت</v>
      </c>
      <c r="F14" s="6" t="s">
        <v>17</v>
      </c>
      <c r="G14" s="15" t="str">
        <f t="shared" si="0"/>
        <v>سرير</v>
      </c>
      <c r="H14" s="6" t="s">
        <v>91</v>
      </c>
      <c r="I14" s="6" t="s">
        <v>84</v>
      </c>
      <c r="J14" s="7">
        <v>80</v>
      </c>
      <c r="K14" s="6" t="s">
        <v>25</v>
      </c>
      <c r="L14" s="6"/>
      <c r="M14" s="12" t="s">
        <v>103</v>
      </c>
      <c r="N14" s="40">
        <v>7295</v>
      </c>
      <c r="O14" s="13" t="s">
        <v>75</v>
      </c>
      <c r="P14" s="7"/>
      <c r="Q14" s="6" t="s">
        <v>22</v>
      </c>
      <c r="R14" s="61" t="s">
        <v>249</v>
      </c>
    </row>
    <row r="15" spans="1:18" ht="20.100000000000001" customHeight="1" x14ac:dyDescent="0.25">
      <c r="A15" s="54" t="s">
        <v>104</v>
      </c>
      <c r="B15" s="15" t="s">
        <v>28</v>
      </c>
      <c r="C15" s="9" t="s">
        <v>27</v>
      </c>
      <c r="D15" s="10" t="s">
        <v>23</v>
      </c>
      <c r="E15" s="10" t="str">
        <f t="shared" si="1"/>
        <v>هومزمارت</v>
      </c>
      <c r="F15" s="9" t="s">
        <v>31</v>
      </c>
      <c r="G15" s="15" t="str">
        <f t="shared" si="0"/>
        <v>تربيزه</v>
      </c>
      <c r="H15" s="9" t="s">
        <v>105</v>
      </c>
      <c r="I15" s="9"/>
      <c r="J15" s="10"/>
      <c r="K15" s="9" t="s">
        <v>18</v>
      </c>
      <c r="L15" s="9"/>
      <c r="M15" s="24" t="s">
        <v>106</v>
      </c>
      <c r="N15" s="41">
        <v>7849</v>
      </c>
      <c r="O15" s="25" t="s">
        <v>71</v>
      </c>
      <c r="P15" s="15" t="s">
        <v>72</v>
      </c>
      <c r="Q15" s="10" t="s">
        <v>29</v>
      </c>
      <c r="R15" s="60" t="s">
        <v>19</v>
      </c>
    </row>
    <row r="16" spans="1:18" ht="20.100000000000001" customHeight="1" x14ac:dyDescent="0.25">
      <c r="A16" s="21" t="s">
        <v>107</v>
      </c>
      <c r="B16" s="15" t="s">
        <v>28</v>
      </c>
      <c r="C16" s="16" t="s">
        <v>27</v>
      </c>
      <c r="D16" s="16" t="s">
        <v>108</v>
      </c>
      <c r="E16" s="20" t="str">
        <f t="shared" si="1"/>
        <v>اوسكار ريتن</v>
      </c>
      <c r="F16" s="20" t="s">
        <v>17</v>
      </c>
      <c r="G16" s="15" t="str">
        <f t="shared" si="0"/>
        <v>سرير</v>
      </c>
      <c r="H16" s="16" t="s">
        <v>77</v>
      </c>
      <c r="I16" s="16" t="s">
        <v>78</v>
      </c>
      <c r="J16" s="16">
        <v>120</v>
      </c>
      <c r="K16" s="16" t="s">
        <v>18</v>
      </c>
      <c r="L16" s="16"/>
      <c r="M16" s="16" t="s">
        <v>109</v>
      </c>
      <c r="N16" s="38">
        <v>6180</v>
      </c>
      <c r="O16" s="18" t="s">
        <v>75</v>
      </c>
      <c r="P16" s="16" t="s">
        <v>254</v>
      </c>
      <c r="Q16" s="15" t="s">
        <v>15</v>
      </c>
      <c r="R16" s="60" t="s">
        <v>26</v>
      </c>
    </row>
    <row r="17" spans="1:28" ht="20.100000000000001" customHeight="1" x14ac:dyDescent="0.25">
      <c r="A17" s="12" t="s">
        <v>110</v>
      </c>
      <c r="B17" s="15" t="s">
        <v>28</v>
      </c>
      <c r="C17" s="6" t="s">
        <v>27</v>
      </c>
      <c r="D17" s="6" t="s">
        <v>23</v>
      </c>
      <c r="E17" s="6" t="str">
        <f t="shared" si="1"/>
        <v>هومزمارت</v>
      </c>
      <c r="F17" s="6" t="s">
        <v>17</v>
      </c>
      <c r="G17" s="15" t="str">
        <f t="shared" si="0"/>
        <v>سرير</v>
      </c>
      <c r="H17" s="6" t="s">
        <v>77</v>
      </c>
      <c r="I17" s="6" t="s">
        <v>111</v>
      </c>
      <c r="J17" s="6">
        <v>80</v>
      </c>
      <c r="K17" s="6" t="s">
        <v>25</v>
      </c>
      <c r="L17" s="6"/>
      <c r="M17" s="6" t="s">
        <v>112</v>
      </c>
      <c r="N17" s="40">
        <v>11199</v>
      </c>
      <c r="O17" s="8" t="s">
        <v>75</v>
      </c>
      <c r="P17" s="6"/>
      <c r="Q17" s="6" t="s">
        <v>22</v>
      </c>
      <c r="R17" s="61" t="s">
        <v>249</v>
      </c>
    </row>
    <row r="18" spans="1:28" ht="20.100000000000001" customHeight="1" x14ac:dyDescent="0.25">
      <c r="A18" s="55" t="s">
        <v>89</v>
      </c>
      <c r="B18" s="15" t="s">
        <v>28</v>
      </c>
      <c r="C18" s="16" t="s">
        <v>27</v>
      </c>
      <c r="D18" s="19" t="s">
        <v>23</v>
      </c>
      <c r="E18" s="19" t="str">
        <f t="shared" si="1"/>
        <v>هومزمارت</v>
      </c>
      <c r="F18" s="16" t="s">
        <v>17</v>
      </c>
      <c r="G18" s="15" t="str">
        <f t="shared" si="0"/>
        <v>سرير</v>
      </c>
      <c r="H18" s="16" t="s">
        <v>91</v>
      </c>
      <c r="I18" s="16" t="s">
        <v>113</v>
      </c>
      <c r="J18" s="19">
        <v>80</v>
      </c>
      <c r="K18" s="16" t="s">
        <v>25</v>
      </c>
      <c r="L18" s="16"/>
      <c r="M18" s="21" t="s">
        <v>114</v>
      </c>
      <c r="N18" s="38">
        <v>7987</v>
      </c>
      <c r="O18" s="22" t="s">
        <v>71</v>
      </c>
      <c r="P18" s="16" t="s">
        <v>254</v>
      </c>
      <c r="Q18" s="15" t="s">
        <v>15</v>
      </c>
      <c r="R18" s="60" t="s">
        <v>19</v>
      </c>
    </row>
    <row r="19" spans="1:28" ht="20.100000000000001" customHeight="1" x14ac:dyDescent="0.25">
      <c r="A19" s="52" t="s">
        <v>40</v>
      </c>
      <c r="B19" s="16" t="s">
        <v>34</v>
      </c>
      <c r="C19" s="16" t="s">
        <v>27</v>
      </c>
      <c r="D19" s="15" t="s">
        <v>40</v>
      </c>
      <c r="E19" s="15" t="str">
        <f t="shared" si="1"/>
        <v>تاكى</v>
      </c>
      <c r="F19" s="15" t="s">
        <v>45</v>
      </c>
      <c r="G19" s="15" t="str">
        <f t="shared" si="0"/>
        <v>كرسى</v>
      </c>
      <c r="H19" s="15" t="s">
        <v>115</v>
      </c>
      <c r="I19" s="15"/>
      <c r="J19" s="15"/>
      <c r="K19" s="15" t="s">
        <v>18</v>
      </c>
      <c r="L19" s="15"/>
      <c r="M19" s="16" t="s">
        <v>116</v>
      </c>
      <c r="N19" s="38">
        <v>9300</v>
      </c>
      <c r="O19" s="17" t="s">
        <v>75</v>
      </c>
      <c r="P19" s="16" t="s">
        <v>254</v>
      </c>
      <c r="Q19" s="15" t="s">
        <v>15</v>
      </c>
      <c r="R19" s="60" t="s">
        <v>19</v>
      </c>
    </row>
    <row r="20" spans="1:28" ht="20.100000000000001" customHeight="1" x14ac:dyDescent="0.25">
      <c r="A20" s="56" t="s">
        <v>117</v>
      </c>
      <c r="B20" s="15" t="s">
        <v>28</v>
      </c>
      <c r="C20" s="36" t="s">
        <v>27</v>
      </c>
      <c r="D20" s="7" t="s">
        <v>23</v>
      </c>
      <c r="E20" s="7" t="str">
        <f t="shared" si="1"/>
        <v>هومزمارت</v>
      </c>
      <c r="F20" s="6" t="s">
        <v>31</v>
      </c>
      <c r="G20" s="15" t="str">
        <f t="shared" si="0"/>
        <v>تربيزه</v>
      </c>
      <c r="H20" s="6" t="s">
        <v>105</v>
      </c>
      <c r="I20" s="36"/>
      <c r="J20" s="23"/>
      <c r="K20" s="36" t="s">
        <v>18</v>
      </c>
      <c r="L20" s="36"/>
      <c r="M20" s="12" t="s">
        <v>106</v>
      </c>
      <c r="N20" s="47">
        <v>8849</v>
      </c>
      <c r="O20" s="32" t="s">
        <v>71</v>
      </c>
      <c r="P20" s="23"/>
      <c r="Q20" s="6" t="s">
        <v>22</v>
      </c>
      <c r="R20" s="61" t="s">
        <v>249</v>
      </c>
    </row>
    <row r="21" spans="1:28" ht="20.100000000000001" customHeight="1" x14ac:dyDescent="0.25">
      <c r="A21" s="55" t="s">
        <v>118</v>
      </c>
      <c r="B21" s="15" t="s">
        <v>28</v>
      </c>
      <c r="C21" s="16" t="s">
        <v>33</v>
      </c>
      <c r="D21" s="19" t="s">
        <v>23</v>
      </c>
      <c r="E21" s="19" t="str">
        <f t="shared" si="1"/>
        <v>هومزمارت</v>
      </c>
      <c r="F21" s="16" t="s">
        <v>17</v>
      </c>
      <c r="G21" s="15" t="str">
        <f t="shared" si="0"/>
        <v>سرير</v>
      </c>
      <c r="H21" s="16" t="s">
        <v>91</v>
      </c>
      <c r="I21" s="16" t="s">
        <v>119</v>
      </c>
      <c r="J21" s="19">
        <v>120</v>
      </c>
      <c r="K21" s="16" t="s">
        <v>18</v>
      </c>
      <c r="L21" s="16"/>
      <c r="M21" s="21" t="s">
        <v>120</v>
      </c>
      <c r="N21" s="38">
        <v>10987</v>
      </c>
      <c r="O21" s="22" t="s">
        <v>71</v>
      </c>
      <c r="P21" s="16" t="s">
        <v>254</v>
      </c>
      <c r="Q21" s="15" t="s">
        <v>15</v>
      </c>
      <c r="R21" s="60" t="s">
        <v>19</v>
      </c>
    </row>
    <row r="22" spans="1:28" ht="20.100000000000001" customHeight="1" x14ac:dyDescent="0.25">
      <c r="A22" s="55" t="s">
        <v>86</v>
      </c>
      <c r="B22" s="16" t="s">
        <v>34</v>
      </c>
      <c r="C22" s="16" t="s">
        <v>33</v>
      </c>
      <c r="D22" s="19" t="s">
        <v>86</v>
      </c>
      <c r="E22" s="19" t="str">
        <f t="shared" si="1"/>
        <v>شيك هومز</v>
      </c>
      <c r="F22" s="16" t="s">
        <v>17</v>
      </c>
      <c r="G22" s="15" t="str">
        <f t="shared" si="0"/>
        <v>سرير</v>
      </c>
      <c r="H22" s="16" t="s">
        <v>77</v>
      </c>
      <c r="I22" s="16" t="s">
        <v>111</v>
      </c>
      <c r="J22" s="19">
        <v>100</v>
      </c>
      <c r="K22" s="16" t="s">
        <v>25</v>
      </c>
      <c r="L22" s="16"/>
      <c r="M22" s="21" t="s">
        <v>121</v>
      </c>
      <c r="N22" s="38">
        <v>9208</v>
      </c>
      <c r="O22" s="17" t="s">
        <v>75</v>
      </c>
      <c r="P22" s="16" t="s">
        <v>254</v>
      </c>
      <c r="Q22" s="15" t="s">
        <v>15</v>
      </c>
      <c r="R22" s="60" t="s">
        <v>19</v>
      </c>
    </row>
    <row r="23" spans="1:28" ht="20.100000000000001" customHeight="1" x14ac:dyDescent="0.25">
      <c r="A23" s="55" t="s">
        <v>86</v>
      </c>
      <c r="B23" s="16" t="s">
        <v>34</v>
      </c>
      <c r="C23" s="16" t="s">
        <v>33</v>
      </c>
      <c r="D23" s="19" t="s">
        <v>30</v>
      </c>
      <c r="E23" s="19" t="str">
        <f t="shared" si="1"/>
        <v>شيك هومز</v>
      </c>
      <c r="F23" s="16" t="s">
        <v>17</v>
      </c>
      <c r="G23" s="15" t="str">
        <f t="shared" si="0"/>
        <v>سرير</v>
      </c>
      <c r="H23" s="16" t="s">
        <v>77</v>
      </c>
      <c r="I23" s="16" t="s">
        <v>111</v>
      </c>
      <c r="J23" s="19">
        <v>100</v>
      </c>
      <c r="K23" s="16" t="s">
        <v>18</v>
      </c>
      <c r="L23" s="16"/>
      <c r="M23" s="21" t="s">
        <v>122</v>
      </c>
      <c r="N23" s="38">
        <v>9208</v>
      </c>
      <c r="O23" s="17" t="s">
        <v>75</v>
      </c>
      <c r="P23" s="16" t="s">
        <v>254</v>
      </c>
      <c r="Q23" s="15" t="s">
        <v>15</v>
      </c>
      <c r="R23" s="60" t="s">
        <v>19</v>
      </c>
    </row>
    <row r="24" spans="1:28" ht="20.100000000000001" customHeight="1" x14ac:dyDescent="0.25">
      <c r="A24" s="55" t="s">
        <v>123</v>
      </c>
      <c r="B24" s="16" t="s">
        <v>34</v>
      </c>
      <c r="C24" s="16" t="s">
        <v>39</v>
      </c>
      <c r="D24" s="19" t="s">
        <v>108</v>
      </c>
      <c r="E24" s="19" t="str">
        <f t="shared" si="1"/>
        <v>اوسكار ريتن</v>
      </c>
      <c r="F24" s="16" t="s">
        <v>17</v>
      </c>
      <c r="G24" s="15" t="str">
        <f t="shared" si="0"/>
        <v>سرير</v>
      </c>
      <c r="H24" s="16" t="s">
        <v>91</v>
      </c>
      <c r="I24" s="16" t="s">
        <v>113</v>
      </c>
      <c r="J24" s="19">
        <v>120</v>
      </c>
      <c r="K24" s="16" t="s">
        <v>18</v>
      </c>
      <c r="L24" s="16"/>
      <c r="M24" s="14" t="s">
        <v>124</v>
      </c>
      <c r="N24" s="38">
        <v>4020</v>
      </c>
      <c r="O24" s="22" t="s">
        <v>125</v>
      </c>
      <c r="P24" s="16" t="s">
        <v>254</v>
      </c>
      <c r="Q24" s="15" t="s">
        <v>15</v>
      </c>
      <c r="R24" s="60" t="s">
        <v>19</v>
      </c>
    </row>
    <row r="25" spans="1:28" ht="20.100000000000001" customHeight="1" x14ac:dyDescent="0.25">
      <c r="A25" s="55" t="s">
        <v>123</v>
      </c>
      <c r="B25" s="16" t="s">
        <v>34</v>
      </c>
      <c r="C25" s="16" t="s">
        <v>39</v>
      </c>
      <c r="D25" s="19" t="s">
        <v>108</v>
      </c>
      <c r="E25" s="19" t="str">
        <f t="shared" si="1"/>
        <v>اوسكار ريتن</v>
      </c>
      <c r="F25" s="16" t="s">
        <v>17</v>
      </c>
      <c r="G25" s="15" t="str">
        <f t="shared" si="0"/>
        <v>سرير</v>
      </c>
      <c r="H25" s="16" t="s">
        <v>91</v>
      </c>
      <c r="I25" s="16" t="s">
        <v>126</v>
      </c>
      <c r="J25" s="19">
        <v>120</v>
      </c>
      <c r="K25" s="16" t="s">
        <v>18</v>
      </c>
      <c r="L25" s="16"/>
      <c r="M25" s="14" t="s">
        <v>127</v>
      </c>
      <c r="N25" s="38">
        <v>4020</v>
      </c>
      <c r="O25" s="22" t="s">
        <v>128</v>
      </c>
      <c r="P25" s="16" t="s">
        <v>254</v>
      </c>
      <c r="Q25" s="15" t="s">
        <v>15</v>
      </c>
      <c r="R25" s="60" t="s">
        <v>19</v>
      </c>
    </row>
    <row r="26" spans="1:28" ht="20.100000000000001" customHeight="1" x14ac:dyDescent="0.25">
      <c r="A26" s="54" t="s">
        <v>129</v>
      </c>
      <c r="B26" s="15" t="s">
        <v>28</v>
      </c>
      <c r="C26" s="9" t="s">
        <v>43</v>
      </c>
      <c r="D26" s="10" t="s">
        <v>23</v>
      </c>
      <c r="E26" s="10" t="str">
        <f t="shared" si="1"/>
        <v>هومزمارت</v>
      </c>
      <c r="F26" s="9" t="s">
        <v>17</v>
      </c>
      <c r="G26" s="15" t="str">
        <f t="shared" si="0"/>
        <v>سرير</v>
      </c>
      <c r="H26" s="9" t="s">
        <v>69</v>
      </c>
      <c r="I26" s="9"/>
      <c r="J26" s="10"/>
      <c r="K26" s="16" t="s">
        <v>18</v>
      </c>
      <c r="L26" s="16" t="s">
        <v>18</v>
      </c>
      <c r="M26" s="24" t="s">
        <v>130</v>
      </c>
      <c r="N26" s="39">
        <v>9399</v>
      </c>
      <c r="O26" s="22" t="s">
        <v>128</v>
      </c>
      <c r="P26" s="9"/>
      <c r="Q26" s="10" t="s">
        <v>29</v>
      </c>
      <c r="R26" s="61" t="s">
        <v>249</v>
      </c>
    </row>
    <row r="27" spans="1:28" ht="20.100000000000001" customHeight="1" x14ac:dyDescent="0.25">
      <c r="A27" s="55" t="s">
        <v>131</v>
      </c>
      <c r="B27" s="15" t="s">
        <v>28</v>
      </c>
      <c r="C27" s="16" t="s">
        <v>47</v>
      </c>
      <c r="D27" s="19" t="s">
        <v>23</v>
      </c>
      <c r="E27" s="19" t="str">
        <f t="shared" si="1"/>
        <v>هومزمارت</v>
      </c>
      <c r="F27" s="16" t="s">
        <v>31</v>
      </c>
      <c r="G27" s="15" t="str">
        <f t="shared" si="0"/>
        <v>تربيزه</v>
      </c>
      <c r="H27" s="16" t="s">
        <v>132</v>
      </c>
      <c r="I27" s="16"/>
      <c r="J27" s="19"/>
      <c r="K27" s="16" t="s">
        <v>18</v>
      </c>
      <c r="L27" s="16"/>
      <c r="M27" s="21" t="s">
        <v>133</v>
      </c>
      <c r="N27" s="38">
        <v>8349</v>
      </c>
      <c r="O27" s="22" t="s">
        <v>128</v>
      </c>
      <c r="P27" s="15" t="s">
        <v>72</v>
      </c>
      <c r="Q27" s="15" t="s">
        <v>15</v>
      </c>
      <c r="R27" s="60" t="s">
        <v>19</v>
      </c>
      <c r="AB27" s="33" t="s">
        <v>134</v>
      </c>
    </row>
    <row r="28" spans="1:28" ht="20.100000000000001" customHeight="1" x14ac:dyDescent="0.25">
      <c r="A28" s="57" t="s">
        <v>135</v>
      </c>
      <c r="B28" s="15" t="s">
        <v>28</v>
      </c>
      <c r="C28" s="16" t="s">
        <v>33</v>
      </c>
      <c r="D28" s="19" t="s">
        <v>23</v>
      </c>
      <c r="E28" s="19" t="str">
        <f t="shared" si="1"/>
        <v>هومزمارت</v>
      </c>
      <c r="F28" s="34" t="s">
        <v>17</v>
      </c>
      <c r="G28" s="15" t="str">
        <f t="shared" si="0"/>
        <v>سرير</v>
      </c>
      <c r="H28" s="34" t="s">
        <v>69</v>
      </c>
      <c r="I28" s="34"/>
      <c r="J28" s="26"/>
      <c r="K28" s="16" t="s">
        <v>18</v>
      </c>
      <c r="L28" s="16" t="s">
        <v>18</v>
      </c>
      <c r="M28" s="27" t="s">
        <v>136</v>
      </c>
      <c r="N28" s="44">
        <v>9399</v>
      </c>
      <c r="O28" s="28" t="s">
        <v>71</v>
      </c>
      <c r="P28" s="15" t="s">
        <v>72</v>
      </c>
      <c r="Q28" s="15" t="s">
        <v>15</v>
      </c>
      <c r="R28" s="60" t="s">
        <v>19</v>
      </c>
    </row>
    <row r="29" spans="1:28" ht="20.100000000000001" customHeight="1" x14ac:dyDescent="0.25">
      <c r="A29" s="55" t="s">
        <v>137</v>
      </c>
      <c r="B29" s="15" t="s">
        <v>28</v>
      </c>
      <c r="C29" s="16" t="s">
        <v>27</v>
      </c>
      <c r="D29" s="19" t="s">
        <v>23</v>
      </c>
      <c r="E29" s="19" t="str">
        <f t="shared" si="1"/>
        <v>هومزمارت</v>
      </c>
      <c r="F29" s="16" t="s">
        <v>31</v>
      </c>
      <c r="G29" s="15" t="str">
        <f t="shared" si="0"/>
        <v>تربيزه</v>
      </c>
      <c r="H29" s="16" t="s">
        <v>105</v>
      </c>
      <c r="I29" s="16"/>
      <c r="J29" s="19"/>
      <c r="K29" s="16" t="s">
        <v>18</v>
      </c>
      <c r="L29" s="16"/>
      <c r="M29" s="21" t="s">
        <v>106</v>
      </c>
      <c r="N29" s="38">
        <v>7849</v>
      </c>
      <c r="O29" s="17" t="s">
        <v>75</v>
      </c>
      <c r="P29" s="15" t="s">
        <v>72</v>
      </c>
      <c r="Q29" s="15" t="s">
        <v>15</v>
      </c>
      <c r="R29" s="60" t="s">
        <v>26</v>
      </c>
    </row>
    <row r="30" spans="1:28" ht="20.100000000000001" customHeight="1" x14ac:dyDescent="0.25">
      <c r="A30" s="58" t="s">
        <v>138</v>
      </c>
      <c r="B30" s="15" t="s">
        <v>28</v>
      </c>
      <c r="C30" s="35" t="s">
        <v>33</v>
      </c>
      <c r="D30" s="30" t="s">
        <v>44</v>
      </c>
      <c r="E30" s="30" t="str">
        <f t="shared" si="1"/>
        <v>فيس بوك</v>
      </c>
      <c r="F30" s="35" t="s">
        <v>17</v>
      </c>
      <c r="G30" s="15" t="str">
        <f t="shared" si="0"/>
        <v>سرير</v>
      </c>
      <c r="H30" s="35" t="s">
        <v>139</v>
      </c>
      <c r="I30" s="35" t="s">
        <v>78</v>
      </c>
      <c r="J30" s="30">
        <v>100</v>
      </c>
      <c r="K30" s="35" t="s">
        <v>18</v>
      </c>
      <c r="L30" s="35"/>
      <c r="M30" s="31" t="s">
        <v>140</v>
      </c>
      <c r="N30" s="45">
        <v>9450</v>
      </c>
      <c r="O30" s="29" t="s">
        <v>75</v>
      </c>
      <c r="P30" s="30"/>
      <c r="Q30" s="6" t="s">
        <v>22</v>
      </c>
      <c r="R30" s="61" t="s">
        <v>249</v>
      </c>
    </row>
    <row r="31" spans="1:28" ht="20.100000000000001" customHeight="1" x14ac:dyDescent="0.25">
      <c r="A31" s="57" t="s">
        <v>141</v>
      </c>
      <c r="B31" s="15" t="s">
        <v>28</v>
      </c>
      <c r="C31" s="16" t="s">
        <v>27</v>
      </c>
      <c r="D31" s="19" t="s">
        <v>23</v>
      </c>
      <c r="E31" s="19" t="str">
        <f t="shared" si="1"/>
        <v>هومزمارت</v>
      </c>
      <c r="F31" s="34" t="s">
        <v>17</v>
      </c>
      <c r="G31" s="15" t="str">
        <f t="shared" si="0"/>
        <v>سرير</v>
      </c>
      <c r="H31" s="16" t="s">
        <v>91</v>
      </c>
      <c r="I31" s="16" t="s">
        <v>119</v>
      </c>
      <c r="J31" s="26">
        <v>120</v>
      </c>
      <c r="K31" s="16" t="s">
        <v>18</v>
      </c>
      <c r="L31" s="34"/>
      <c r="M31" s="27" t="s">
        <v>142</v>
      </c>
      <c r="N31" s="44">
        <v>7460</v>
      </c>
      <c r="O31" s="28" t="s">
        <v>71</v>
      </c>
      <c r="P31" s="16" t="s">
        <v>254</v>
      </c>
      <c r="Q31" s="15" t="s">
        <v>15</v>
      </c>
      <c r="R31" s="60" t="s">
        <v>19</v>
      </c>
    </row>
    <row r="32" spans="1:28" ht="20.100000000000001" customHeight="1" x14ac:dyDescent="0.25">
      <c r="A32" s="57" t="s">
        <v>143</v>
      </c>
      <c r="B32" s="15" t="s">
        <v>28</v>
      </c>
      <c r="C32" s="16" t="s">
        <v>27</v>
      </c>
      <c r="D32" s="19" t="s">
        <v>23</v>
      </c>
      <c r="E32" s="19" t="str">
        <f t="shared" si="1"/>
        <v>هومزمارت</v>
      </c>
      <c r="F32" s="34" t="s">
        <v>17</v>
      </c>
      <c r="G32" s="15" t="str">
        <f t="shared" si="0"/>
        <v>سرير</v>
      </c>
      <c r="H32" s="16" t="s">
        <v>91</v>
      </c>
      <c r="I32" s="16" t="s">
        <v>144</v>
      </c>
      <c r="J32" s="26">
        <v>140</v>
      </c>
      <c r="K32" s="34" t="s">
        <v>46</v>
      </c>
      <c r="L32" s="34" t="s">
        <v>145</v>
      </c>
      <c r="M32" s="27" t="s">
        <v>146</v>
      </c>
      <c r="N32" s="44">
        <v>9528</v>
      </c>
      <c r="O32" s="28" t="s">
        <v>71</v>
      </c>
      <c r="P32" s="16" t="s">
        <v>254</v>
      </c>
      <c r="Q32" s="15" t="s">
        <v>15</v>
      </c>
      <c r="R32" s="60" t="s">
        <v>19</v>
      </c>
    </row>
    <row r="33" spans="1:18" ht="20.100000000000001" customHeight="1" x14ac:dyDescent="0.25">
      <c r="A33" s="55" t="s">
        <v>147</v>
      </c>
      <c r="B33" s="15" t="s">
        <v>28</v>
      </c>
      <c r="C33" s="16" t="s">
        <v>33</v>
      </c>
      <c r="D33" s="19" t="s">
        <v>23</v>
      </c>
      <c r="E33" s="19" t="str">
        <f t="shared" si="1"/>
        <v>هومزمارت</v>
      </c>
      <c r="F33" s="16" t="s">
        <v>17</v>
      </c>
      <c r="G33" s="15" t="str">
        <f t="shared" si="0"/>
        <v>سرير</v>
      </c>
      <c r="H33" s="16" t="s">
        <v>77</v>
      </c>
      <c r="I33" s="16" t="s">
        <v>78</v>
      </c>
      <c r="J33" s="19">
        <v>120</v>
      </c>
      <c r="K33" s="16" t="s">
        <v>32</v>
      </c>
      <c r="L33" s="16"/>
      <c r="M33" s="21" t="s">
        <v>148</v>
      </c>
      <c r="N33" s="38">
        <v>12999</v>
      </c>
      <c r="O33" s="22" t="s">
        <v>71</v>
      </c>
      <c r="P33" s="16" t="s">
        <v>254</v>
      </c>
      <c r="Q33" s="15" t="s">
        <v>15</v>
      </c>
      <c r="R33" s="60" t="s">
        <v>19</v>
      </c>
    </row>
    <row r="34" spans="1:18" ht="20.100000000000001" customHeight="1" x14ac:dyDescent="0.25">
      <c r="A34" s="53" t="s">
        <v>149</v>
      </c>
      <c r="B34" s="15" t="s">
        <v>28</v>
      </c>
      <c r="C34" s="6" t="s">
        <v>27</v>
      </c>
      <c r="D34" s="7" t="s">
        <v>23</v>
      </c>
      <c r="E34" s="7" t="str">
        <f t="shared" ref="E34:E65" si="2">TRIM(CLEAN(D34))</f>
        <v>هومزمارت</v>
      </c>
      <c r="F34" s="6" t="s">
        <v>17</v>
      </c>
      <c r="G34" s="15" t="str">
        <f t="shared" ref="G34:G65" si="3">TRIM(CLEAN(F34))</f>
        <v>سرير</v>
      </c>
      <c r="H34" s="6" t="s">
        <v>77</v>
      </c>
      <c r="I34" s="6" t="s">
        <v>84</v>
      </c>
      <c r="J34" s="7">
        <v>90</v>
      </c>
      <c r="K34" s="16" t="s">
        <v>18</v>
      </c>
      <c r="L34" s="6"/>
      <c r="M34" s="12" t="s">
        <v>150</v>
      </c>
      <c r="N34" s="40">
        <v>5999</v>
      </c>
      <c r="O34" s="13" t="s">
        <v>71</v>
      </c>
      <c r="P34" s="7"/>
      <c r="Q34" s="7" t="s">
        <v>29</v>
      </c>
      <c r="R34" s="61" t="s">
        <v>249</v>
      </c>
    </row>
    <row r="35" spans="1:18" ht="20.100000000000001" customHeight="1" x14ac:dyDescent="0.25">
      <c r="A35" s="55" t="s">
        <v>151</v>
      </c>
      <c r="B35" s="15" t="s">
        <v>28</v>
      </c>
      <c r="C35" s="16" t="s">
        <v>27</v>
      </c>
      <c r="D35" s="19" t="s">
        <v>23</v>
      </c>
      <c r="E35" s="19" t="str">
        <f t="shared" si="2"/>
        <v>هومزمارت</v>
      </c>
      <c r="F35" s="16" t="s">
        <v>17</v>
      </c>
      <c r="G35" s="15" t="str">
        <f t="shared" si="3"/>
        <v>سرير</v>
      </c>
      <c r="H35" s="16" t="s">
        <v>77</v>
      </c>
      <c r="I35" s="16" t="s">
        <v>78</v>
      </c>
      <c r="J35" s="19">
        <v>100</v>
      </c>
      <c r="K35" s="16" t="s">
        <v>18</v>
      </c>
      <c r="L35" s="16"/>
      <c r="M35" s="21" t="s">
        <v>152</v>
      </c>
      <c r="N35" s="38">
        <v>11949</v>
      </c>
      <c r="O35" s="22" t="s">
        <v>75</v>
      </c>
      <c r="P35" s="16" t="s">
        <v>254</v>
      </c>
      <c r="Q35" s="15" t="s">
        <v>15</v>
      </c>
      <c r="R35" s="60" t="s">
        <v>19</v>
      </c>
    </row>
    <row r="36" spans="1:18" ht="20.100000000000001" customHeight="1" x14ac:dyDescent="0.25">
      <c r="A36" s="55" t="s">
        <v>151</v>
      </c>
      <c r="B36" s="15" t="s">
        <v>28</v>
      </c>
      <c r="C36" s="16" t="s">
        <v>27</v>
      </c>
      <c r="D36" s="19" t="s">
        <v>23</v>
      </c>
      <c r="E36" s="19" t="str">
        <f t="shared" si="2"/>
        <v>هومزمارت</v>
      </c>
      <c r="F36" s="16" t="s">
        <v>17</v>
      </c>
      <c r="G36" s="15" t="str">
        <f t="shared" si="3"/>
        <v>سرير</v>
      </c>
      <c r="H36" s="16" t="s">
        <v>77</v>
      </c>
      <c r="I36" s="16" t="s">
        <v>78</v>
      </c>
      <c r="J36" s="19">
        <v>100</v>
      </c>
      <c r="K36" s="16" t="s">
        <v>18</v>
      </c>
      <c r="L36" s="16"/>
      <c r="M36" s="21" t="s">
        <v>152</v>
      </c>
      <c r="N36" s="38">
        <v>11949</v>
      </c>
      <c r="O36" s="22" t="s">
        <v>75</v>
      </c>
      <c r="P36" s="16" t="s">
        <v>254</v>
      </c>
      <c r="Q36" s="15" t="s">
        <v>15</v>
      </c>
      <c r="R36" s="60" t="s">
        <v>19</v>
      </c>
    </row>
    <row r="37" spans="1:18" ht="20.100000000000001" customHeight="1" x14ac:dyDescent="0.25">
      <c r="A37" s="57" t="s">
        <v>89</v>
      </c>
      <c r="B37" s="15" t="s">
        <v>28</v>
      </c>
      <c r="C37" s="16" t="s">
        <v>27</v>
      </c>
      <c r="D37" s="19" t="s">
        <v>23</v>
      </c>
      <c r="E37" s="19" t="str">
        <f t="shared" si="2"/>
        <v>هومزمارت</v>
      </c>
      <c r="F37" s="34" t="s">
        <v>17</v>
      </c>
      <c r="G37" s="15" t="str">
        <f t="shared" si="3"/>
        <v>سرير</v>
      </c>
      <c r="H37" s="16" t="s">
        <v>139</v>
      </c>
      <c r="I37" s="16" t="s">
        <v>78</v>
      </c>
      <c r="J37" s="26">
        <v>80</v>
      </c>
      <c r="K37" s="16" t="s">
        <v>25</v>
      </c>
      <c r="L37" s="34"/>
      <c r="M37" s="27" t="s">
        <v>153</v>
      </c>
      <c r="N37" s="44">
        <v>16599</v>
      </c>
      <c r="O37" s="28" t="s">
        <v>71</v>
      </c>
      <c r="P37" s="16" t="s">
        <v>254</v>
      </c>
      <c r="Q37" s="15" t="s">
        <v>15</v>
      </c>
      <c r="R37" s="60" t="s">
        <v>19</v>
      </c>
    </row>
    <row r="38" spans="1:18" ht="20.100000000000001" customHeight="1" x14ac:dyDescent="0.25">
      <c r="A38" s="57" t="s">
        <v>154</v>
      </c>
      <c r="B38" s="15" t="s">
        <v>28</v>
      </c>
      <c r="C38" s="34" t="s">
        <v>50</v>
      </c>
      <c r="D38" s="19" t="s">
        <v>23</v>
      </c>
      <c r="E38" s="19" t="str">
        <f t="shared" si="2"/>
        <v>هومزمارت</v>
      </c>
      <c r="F38" s="34" t="s">
        <v>17</v>
      </c>
      <c r="G38" s="15" t="str">
        <f t="shared" si="3"/>
        <v>سرير</v>
      </c>
      <c r="H38" s="16" t="s">
        <v>77</v>
      </c>
      <c r="I38" s="16" t="s">
        <v>78</v>
      </c>
      <c r="J38" s="16">
        <v>80</v>
      </c>
      <c r="K38" s="16" t="s">
        <v>25</v>
      </c>
      <c r="L38" s="16"/>
      <c r="M38" s="27" t="s">
        <v>155</v>
      </c>
      <c r="N38" s="44">
        <v>10999</v>
      </c>
      <c r="O38" s="28" t="s">
        <v>71</v>
      </c>
      <c r="P38" s="15" t="s">
        <v>72</v>
      </c>
      <c r="Q38" s="15" t="s">
        <v>15</v>
      </c>
      <c r="R38" s="60" t="s">
        <v>19</v>
      </c>
    </row>
    <row r="39" spans="1:18" ht="20.100000000000001" customHeight="1" x14ac:dyDescent="0.25">
      <c r="A39" s="57" t="s">
        <v>156</v>
      </c>
      <c r="B39" s="15" t="s">
        <v>28</v>
      </c>
      <c r="C39" s="34" t="s">
        <v>43</v>
      </c>
      <c r="D39" s="19" t="s">
        <v>23</v>
      </c>
      <c r="E39" s="19" t="str">
        <f t="shared" si="2"/>
        <v>هومزمارت</v>
      </c>
      <c r="F39" s="34" t="s">
        <v>17</v>
      </c>
      <c r="G39" s="15" t="str">
        <f t="shared" si="3"/>
        <v>سرير</v>
      </c>
      <c r="H39" s="16" t="s">
        <v>77</v>
      </c>
      <c r="I39" s="16" t="s">
        <v>78</v>
      </c>
      <c r="J39" s="26">
        <v>140</v>
      </c>
      <c r="K39" s="34" t="s">
        <v>38</v>
      </c>
      <c r="L39" s="34"/>
      <c r="M39" s="27" t="s">
        <v>157</v>
      </c>
      <c r="N39" s="44">
        <v>13099</v>
      </c>
      <c r="O39" s="28" t="s">
        <v>71</v>
      </c>
      <c r="P39" s="15" t="s">
        <v>72</v>
      </c>
      <c r="Q39" s="15" t="s">
        <v>15</v>
      </c>
      <c r="R39" s="60" t="s">
        <v>19</v>
      </c>
    </row>
    <row r="40" spans="1:18" ht="20.100000000000001" customHeight="1" x14ac:dyDescent="0.25">
      <c r="A40" s="57" t="s">
        <v>158</v>
      </c>
      <c r="B40" s="15" t="s">
        <v>28</v>
      </c>
      <c r="C40" s="16" t="s">
        <v>33</v>
      </c>
      <c r="D40" s="19" t="s">
        <v>23</v>
      </c>
      <c r="E40" s="19" t="str">
        <f t="shared" si="2"/>
        <v>هومزمارت</v>
      </c>
      <c r="F40" s="34" t="s">
        <v>17</v>
      </c>
      <c r="G40" s="15" t="str">
        <f t="shared" si="3"/>
        <v>سرير</v>
      </c>
      <c r="H40" s="16" t="s">
        <v>77</v>
      </c>
      <c r="I40" s="16" t="s">
        <v>111</v>
      </c>
      <c r="J40" s="19">
        <v>120</v>
      </c>
      <c r="K40" s="16" t="s">
        <v>54</v>
      </c>
      <c r="L40" s="16"/>
      <c r="M40" s="27" t="s">
        <v>159</v>
      </c>
      <c r="N40" s="44">
        <v>13849</v>
      </c>
      <c r="O40" s="28" t="s">
        <v>71</v>
      </c>
      <c r="P40" s="16" t="s">
        <v>254</v>
      </c>
      <c r="Q40" s="15" t="s">
        <v>15</v>
      </c>
      <c r="R40" s="60" t="s">
        <v>19</v>
      </c>
    </row>
    <row r="41" spans="1:18" ht="20.100000000000001" customHeight="1" x14ac:dyDescent="0.25">
      <c r="A41" s="57" t="s">
        <v>160</v>
      </c>
      <c r="B41" s="15" t="s">
        <v>28</v>
      </c>
      <c r="C41" s="16" t="s">
        <v>27</v>
      </c>
      <c r="D41" s="26" t="s">
        <v>23</v>
      </c>
      <c r="E41" s="26" t="str">
        <f t="shared" si="2"/>
        <v>هومزمارت</v>
      </c>
      <c r="F41" s="16" t="s">
        <v>24</v>
      </c>
      <c r="G41" s="15" t="str">
        <f t="shared" si="3"/>
        <v>كنبه</v>
      </c>
      <c r="H41" s="34" t="s">
        <v>87</v>
      </c>
      <c r="I41" s="34"/>
      <c r="J41" s="26"/>
      <c r="K41" s="16" t="s">
        <v>18</v>
      </c>
      <c r="L41" s="34" t="s">
        <v>145</v>
      </c>
      <c r="M41" s="27" t="s">
        <v>161</v>
      </c>
      <c r="N41" s="38">
        <v>21999</v>
      </c>
      <c r="O41" s="28" t="s">
        <v>71</v>
      </c>
      <c r="P41" s="16" t="s">
        <v>254</v>
      </c>
      <c r="Q41" s="15" t="s">
        <v>15</v>
      </c>
      <c r="R41" s="60" t="s">
        <v>26</v>
      </c>
    </row>
    <row r="42" spans="1:18" ht="20.100000000000001" customHeight="1" x14ac:dyDescent="0.25">
      <c r="A42" s="57" t="s">
        <v>162</v>
      </c>
      <c r="B42" s="15" t="s">
        <v>28</v>
      </c>
      <c r="C42" s="16" t="s">
        <v>33</v>
      </c>
      <c r="D42" s="19" t="s">
        <v>23</v>
      </c>
      <c r="E42" s="19" t="str">
        <f t="shared" si="2"/>
        <v>هومزمارت</v>
      </c>
      <c r="F42" s="34" t="s">
        <v>17</v>
      </c>
      <c r="G42" s="15" t="str">
        <f t="shared" si="3"/>
        <v>سرير</v>
      </c>
      <c r="H42" s="16" t="s">
        <v>77</v>
      </c>
      <c r="I42" s="16" t="s">
        <v>78</v>
      </c>
      <c r="J42" s="16">
        <v>80</v>
      </c>
      <c r="K42" s="16" t="s">
        <v>25</v>
      </c>
      <c r="L42" s="16"/>
      <c r="M42" s="27" t="s">
        <v>155</v>
      </c>
      <c r="N42" s="44">
        <v>10999</v>
      </c>
      <c r="O42" s="28" t="s">
        <v>71</v>
      </c>
      <c r="P42" s="16" t="s">
        <v>254</v>
      </c>
      <c r="Q42" s="15" t="s">
        <v>15</v>
      </c>
      <c r="R42" s="60" t="s">
        <v>19</v>
      </c>
    </row>
    <row r="43" spans="1:18" ht="20.100000000000001" customHeight="1" x14ac:dyDescent="0.25">
      <c r="A43" s="57" t="s">
        <v>163</v>
      </c>
      <c r="B43" s="15" t="s">
        <v>28</v>
      </c>
      <c r="C43" s="34" t="s">
        <v>27</v>
      </c>
      <c r="D43" s="19" t="s">
        <v>23</v>
      </c>
      <c r="E43" s="19" t="str">
        <f t="shared" si="2"/>
        <v>هومزمارت</v>
      </c>
      <c r="F43" s="34" t="s">
        <v>17</v>
      </c>
      <c r="G43" s="15" t="str">
        <f t="shared" si="3"/>
        <v>سرير</v>
      </c>
      <c r="H43" s="16" t="s">
        <v>139</v>
      </c>
      <c r="I43" s="16" t="s">
        <v>78</v>
      </c>
      <c r="J43" s="26">
        <v>90</v>
      </c>
      <c r="K43" s="16" t="s">
        <v>18</v>
      </c>
      <c r="L43" s="34"/>
      <c r="M43" s="27" t="s">
        <v>164</v>
      </c>
      <c r="N43" s="44">
        <v>17249</v>
      </c>
      <c r="O43" s="28" t="s">
        <v>71</v>
      </c>
      <c r="P43" s="16" t="s">
        <v>254</v>
      </c>
      <c r="Q43" s="15" t="s">
        <v>15</v>
      </c>
      <c r="R43" s="60" t="s">
        <v>19</v>
      </c>
    </row>
    <row r="44" spans="1:18" ht="20.100000000000001" customHeight="1" x14ac:dyDescent="0.25">
      <c r="A44" s="55" t="s">
        <v>165</v>
      </c>
      <c r="B44" s="15" t="s">
        <v>28</v>
      </c>
      <c r="C44" s="15" t="s">
        <v>33</v>
      </c>
      <c r="D44" s="19" t="s">
        <v>23</v>
      </c>
      <c r="E44" s="19" t="str">
        <f t="shared" si="2"/>
        <v>هومزمارت</v>
      </c>
      <c r="F44" s="16" t="s">
        <v>31</v>
      </c>
      <c r="G44" s="15" t="str">
        <f t="shared" si="3"/>
        <v>تربيزه</v>
      </c>
      <c r="H44" s="16" t="s">
        <v>105</v>
      </c>
      <c r="I44" s="16"/>
      <c r="J44" s="19"/>
      <c r="K44" s="16" t="s">
        <v>18</v>
      </c>
      <c r="L44" s="16"/>
      <c r="M44" s="21" t="s">
        <v>166</v>
      </c>
      <c r="N44" s="38">
        <v>8349</v>
      </c>
      <c r="O44" s="22" t="s">
        <v>71</v>
      </c>
      <c r="P44" s="16" t="s">
        <v>254</v>
      </c>
      <c r="Q44" s="15" t="s">
        <v>15</v>
      </c>
      <c r="R44" s="60" t="s">
        <v>19</v>
      </c>
    </row>
    <row r="45" spans="1:18" ht="20.100000000000001" customHeight="1" x14ac:dyDescent="0.25">
      <c r="A45" s="55" t="s">
        <v>167</v>
      </c>
      <c r="B45" s="15" t="s">
        <v>28</v>
      </c>
      <c r="C45" s="16" t="s">
        <v>27</v>
      </c>
      <c r="D45" s="19" t="s">
        <v>23</v>
      </c>
      <c r="E45" s="19" t="str">
        <f t="shared" si="2"/>
        <v>هومزمارت</v>
      </c>
      <c r="F45" s="16" t="s">
        <v>31</v>
      </c>
      <c r="G45" s="15" t="str">
        <f t="shared" si="3"/>
        <v>تربيزه</v>
      </c>
      <c r="H45" s="16" t="s">
        <v>81</v>
      </c>
      <c r="I45" s="34"/>
      <c r="J45" s="26"/>
      <c r="K45" s="16" t="s">
        <v>18</v>
      </c>
      <c r="L45" s="34"/>
      <c r="M45" s="21" t="s">
        <v>82</v>
      </c>
      <c r="N45" s="38">
        <v>7849</v>
      </c>
      <c r="O45" s="28" t="s">
        <v>71</v>
      </c>
      <c r="P45" s="16" t="s">
        <v>254</v>
      </c>
      <c r="Q45" s="15" t="s">
        <v>15</v>
      </c>
      <c r="R45" s="60" t="s">
        <v>19</v>
      </c>
    </row>
    <row r="46" spans="1:18" ht="20.100000000000001" customHeight="1" x14ac:dyDescent="0.25">
      <c r="A46" s="55" t="s">
        <v>168</v>
      </c>
      <c r="B46" s="15" t="s">
        <v>28</v>
      </c>
      <c r="C46" s="16" t="s">
        <v>33</v>
      </c>
      <c r="D46" s="19" t="s">
        <v>23</v>
      </c>
      <c r="E46" s="19" t="str">
        <f t="shared" si="2"/>
        <v>هومزمارت</v>
      </c>
      <c r="F46" s="34" t="s">
        <v>17</v>
      </c>
      <c r="G46" s="15" t="str">
        <f t="shared" si="3"/>
        <v>سرير</v>
      </c>
      <c r="H46" s="34" t="s">
        <v>69</v>
      </c>
      <c r="I46" s="34"/>
      <c r="J46" s="26"/>
      <c r="K46" s="16" t="s">
        <v>18</v>
      </c>
      <c r="L46" s="16" t="s">
        <v>18</v>
      </c>
      <c r="M46" s="27" t="s">
        <v>169</v>
      </c>
      <c r="N46" s="44">
        <v>9399</v>
      </c>
      <c r="O46" s="28" t="s">
        <v>128</v>
      </c>
      <c r="P46" s="16" t="s">
        <v>254</v>
      </c>
      <c r="Q46" s="15" t="s">
        <v>15</v>
      </c>
      <c r="R46" s="60" t="s">
        <v>26</v>
      </c>
    </row>
    <row r="47" spans="1:18" ht="20.100000000000001" customHeight="1" x14ac:dyDescent="0.25">
      <c r="A47" s="55" t="s">
        <v>170</v>
      </c>
      <c r="B47" s="15" t="s">
        <v>28</v>
      </c>
      <c r="C47" s="16" t="s">
        <v>33</v>
      </c>
      <c r="D47" s="19" t="s">
        <v>23</v>
      </c>
      <c r="E47" s="19" t="str">
        <f t="shared" si="2"/>
        <v>هومزمارت</v>
      </c>
      <c r="F47" s="34" t="s">
        <v>17</v>
      </c>
      <c r="G47" s="15" t="str">
        <f t="shared" si="3"/>
        <v>سرير</v>
      </c>
      <c r="H47" s="16" t="s">
        <v>91</v>
      </c>
      <c r="I47" s="16" t="s">
        <v>119</v>
      </c>
      <c r="J47" s="26">
        <v>140</v>
      </c>
      <c r="K47" s="16" t="s">
        <v>18</v>
      </c>
      <c r="L47" s="34"/>
      <c r="M47" s="21" t="s">
        <v>171</v>
      </c>
      <c r="N47" s="44">
        <v>11817</v>
      </c>
      <c r="O47" s="28" t="s">
        <v>128</v>
      </c>
      <c r="P47" s="16" t="s">
        <v>254</v>
      </c>
      <c r="Q47" s="15" t="s">
        <v>15</v>
      </c>
      <c r="R47" s="60" t="s">
        <v>26</v>
      </c>
    </row>
    <row r="48" spans="1:18" ht="20.100000000000001" customHeight="1" x14ac:dyDescent="0.25">
      <c r="A48" s="55" t="s">
        <v>172</v>
      </c>
      <c r="B48" s="15" t="s">
        <v>28</v>
      </c>
      <c r="C48" s="16" t="s">
        <v>27</v>
      </c>
      <c r="D48" s="19" t="s">
        <v>23</v>
      </c>
      <c r="E48" s="19" t="str">
        <f t="shared" si="2"/>
        <v>هومزمارت</v>
      </c>
      <c r="F48" s="16" t="s">
        <v>31</v>
      </c>
      <c r="G48" s="15" t="str">
        <f t="shared" si="3"/>
        <v>تربيزه</v>
      </c>
      <c r="H48" s="16" t="s">
        <v>132</v>
      </c>
      <c r="I48" s="34"/>
      <c r="J48" s="26"/>
      <c r="K48" s="16" t="s">
        <v>18</v>
      </c>
      <c r="L48" s="34"/>
      <c r="M48" s="21" t="s">
        <v>173</v>
      </c>
      <c r="N48" s="38">
        <v>8349</v>
      </c>
      <c r="O48" s="28" t="s">
        <v>128</v>
      </c>
      <c r="P48" s="16" t="s">
        <v>254</v>
      </c>
      <c r="Q48" s="15" t="s">
        <v>15</v>
      </c>
      <c r="R48" s="60" t="s">
        <v>26</v>
      </c>
    </row>
    <row r="49" spans="1:18" ht="20.100000000000001" customHeight="1" x14ac:dyDescent="0.25">
      <c r="A49" s="53" t="s">
        <v>174</v>
      </c>
      <c r="B49" s="15" t="s">
        <v>28</v>
      </c>
      <c r="C49" s="6" t="s">
        <v>27</v>
      </c>
      <c r="D49" s="7" t="s">
        <v>23</v>
      </c>
      <c r="E49" s="7" t="str">
        <f t="shared" si="2"/>
        <v>هومزمارت</v>
      </c>
      <c r="F49" s="36" t="s">
        <v>17</v>
      </c>
      <c r="G49" s="15" t="str">
        <f t="shared" si="3"/>
        <v>سرير</v>
      </c>
      <c r="H49" s="6" t="s">
        <v>91</v>
      </c>
      <c r="I49" s="6" t="s">
        <v>113</v>
      </c>
      <c r="J49" s="23">
        <v>120</v>
      </c>
      <c r="K49" s="36" t="s">
        <v>25</v>
      </c>
      <c r="L49" s="36"/>
      <c r="M49" s="5" t="s">
        <v>175</v>
      </c>
      <c r="N49" s="40">
        <v>17886</v>
      </c>
      <c r="O49" s="13" t="s">
        <v>128</v>
      </c>
      <c r="P49" s="7"/>
      <c r="Q49" s="6" t="s">
        <v>22</v>
      </c>
      <c r="R49" s="61" t="s">
        <v>249</v>
      </c>
    </row>
    <row r="50" spans="1:18" ht="20.100000000000001" customHeight="1" x14ac:dyDescent="0.25">
      <c r="A50" s="55" t="s">
        <v>176</v>
      </c>
      <c r="B50" s="15" t="s">
        <v>28</v>
      </c>
      <c r="C50" s="16" t="s">
        <v>27</v>
      </c>
      <c r="D50" s="19" t="s">
        <v>23</v>
      </c>
      <c r="E50" s="19" t="str">
        <f t="shared" si="2"/>
        <v>هومزمارت</v>
      </c>
      <c r="F50" s="34" t="s">
        <v>17</v>
      </c>
      <c r="G50" s="15" t="str">
        <f t="shared" si="3"/>
        <v>سرير</v>
      </c>
      <c r="H50" s="16" t="s">
        <v>91</v>
      </c>
      <c r="I50" s="16" t="s">
        <v>119</v>
      </c>
      <c r="J50" s="26">
        <v>120</v>
      </c>
      <c r="K50" s="34" t="s">
        <v>25</v>
      </c>
      <c r="L50" s="34"/>
      <c r="M50" s="21" t="s">
        <v>177</v>
      </c>
      <c r="N50" s="44">
        <v>10987</v>
      </c>
      <c r="O50" s="22" t="s">
        <v>71</v>
      </c>
      <c r="P50" s="16" t="s">
        <v>254</v>
      </c>
      <c r="Q50" s="15" t="s">
        <v>15</v>
      </c>
      <c r="R50" s="60" t="s">
        <v>26</v>
      </c>
    </row>
    <row r="51" spans="1:18" ht="20.100000000000001" customHeight="1" x14ac:dyDescent="0.25">
      <c r="A51" s="55" t="s">
        <v>176</v>
      </c>
      <c r="B51" s="15" t="s">
        <v>28</v>
      </c>
      <c r="C51" s="16" t="s">
        <v>27</v>
      </c>
      <c r="D51" s="19" t="s">
        <v>23</v>
      </c>
      <c r="E51" s="19" t="str">
        <f t="shared" si="2"/>
        <v>هومزمارت</v>
      </c>
      <c r="F51" s="34" t="s">
        <v>17</v>
      </c>
      <c r="G51" s="15" t="str">
        <f t="shared" si="3"/>
        <v>سرير</v>
      </c>
      <c r="H51" s="16" t="s">
        <v>91</v>
      </c>
      <c r="I51" s="16" t="s">
        <v>119</v>
      </c>
      <c r="J51" s="26">
        <v>120</v>
      </c>
      <c r="K51" s="34" t="s">
        <v>25</v>
      </c>
      <c r="L51" s="34"/>
      <c r="M51" s="21" t="s">
        <v>177</v>
      </c>
      <c r="N51" s="44">
        <v>10987</v>
      </c>
      <c r="O51" s="22" t="s">
        <v>71</v>
      </c>
      <c r="P51" s="16" t="s">
        <v>254</v>
      </c>
      <c r="Q51" s="15" t="s">
        <v>15</v>
      </c>
      <c r="R51" s="60" t="s">
        <v>26</v>
      </c>
    </row>
    <row r="52" spans="1:18" ht="20.100000000000001" customHeight="1" x14ac:dyDescent="0.25">
      <c r="A52" s="55" t="s">
        <v>178</v>
      </c>
      <c r="B52" s="15" t="s">
        <v>28</v>
      </c>
      <c r="C52" s="16" t="s">
        <v>27</v>
      </c>
      <c r="D52" s="19" t="s">
        <v>23</v>
      </c>
      <c r="E52" s="19" t="str">
        <f t="shared" si="2"/>
        <v>هومزمارت</v>
      </c>
      <c r="F52" s="16" t="s">
        <v>31</v>
      </c>
      <c r="G52" s="15" t="str">
        <f t="shared" si="3"/>
        <v>تربيزه</v>
      </c>
      <c r="H52" s="16" t="s">
        <v>105</v>
      </c>
      <c r="I52" s="16"/>
      <c r="J52" s="19"/>
      <c r="K52" s="16" t="s">
        <v>18</v>
      </c>
      <c r="L52" s="16"/>
      <c r="M52" s="21" t="s">
        <v>106</v>
      </c>
      <c r="N52" s="38">
        <v>10319</v>
      </c>
      <c r="O52" s="22" t="s">
        <v>71</v>
      </c>
      <c r="P52" s="16" t="s">
        <v>254</v>
      </c>
      <c r="Q52" s="15" t="s">
        <v>15</v>
      </c>
      <c r="R52" s="60" t="s">
        <v>26</v>
      </c>
    </row>
    <row r="53" spans="1:18" ht="20.100000000000001" customHeight="1" x14ac:dyDescent="0.25">
      <c r="A53" s="55" t="s">
        <v>179</v>
      </c>
      <c r="B53" s="15" t="s">
        <v>28</v>
      </c>
      <c r="C53" s="16" t="s">
        <v>53</v>
      </c>
      <c r="D53" s="19" t="s">
        <v>23</v>
      </c>
      <c r="E53" s="19" t="str">
        <f t="shared" si="2"/>
        <v>هومزمارت</v>
      </c>
      <c r="F53" s="34" t="s">
        <v>17</v>
      </c>
      <c r="G53" s="15" t="str">
        <f t="shared" si="3"/>
        <v>سرير</v>
      </c>
      <c r="H53" s="16" t="s">
        <v>77</v>
      </c>
      <c r="I53" s="16" t="s">
        <v>78</v>
      </c>
      <c r="J53" s="19">
        <v>120</v>
      </c>
      <c r="K53" s="16" t="s">
        <v>32</v>
      </c>
      <c r="L53" s="16"/>
      <c r="M53" s="21" t="s">
        <v>180</v>
      </c>
      <c r="N53" s="44">
        <v>12999</v>
      </c>
      <c r="O53" s="28" t="s">
        <v>128</v>
      </c>
      <c r="P53" s="15" t="s">
        <v>72</v>
      </c>
      <c r="Q53" s="15" t="s">
        <v>15</v>
      </c>
      <c r="R53" s="60" t="s">
        <v>26</v>
      </c>
    </row>
    <row r="54" spans="1:18" ht="20.100000000000001" customHeight="1" x14ac:dyDescent="0.25">
      <c r="A54" s="54" t="s">
        <v>181</v>
      </c>
      <c r="B54" s="15" t="s">
        <v>28</v>
      </c>
      <c r="C54" s="9" t="s">
        <v>50</v>
      </c>
      <c r="D54" s="10" t="s">
        <v>23</v>
      </c>
      <c r="E54" s="10" t="str">
        <f t="shared" si="2"/>
        <v>هومزمارت</v>
      </c>
      <c r="F54" s="9" t="s">
        <v>24</v>
      </c>
      <c r="G54" s="15" t="str">
        <f t="shared" si="3"/>
        <v>كنبه</v>
      </c>
      <c r="H54" s="9" t="s">
        <v>87</v>
      </c>
      <c r="I54" s="9"/>
      <c r="J54" s="10"/>
      <c r="K54" s="16" t="s">
        <v>18</v>
      </c>
      <c r="L54" s="9" t="s">
        <v>145</v>
      </c>
      <c r="M54" s="29" t="s">
        <v>161</v>
      </c>
      <c r="N54" s="41">
        <v>21999</v>
      </c>
      <c r="O54" s="29" t="s">
        <v>71</v>
      </c>
      <c r="P54" s="10"/>
      <c r="Q54" s="6" t="s">
        <v>22</v>
      </c>
      <c r="R54" s="61" t="s">
        <v>249</v>
      </c>
    </row>
    <row r="55" spans="1:18" ht="20.100000000000001" customHeight="1" x14ac:dyDescent="0.25">
      <c r="A55" s="55" t="s">
        <v>182</v>
      </c>
      <c r="B55" s="15" t="s">
        <v>28</v>
      </c>
      <c r="C55" s="16" t="s">
        <v>27</v>
      </c>
      <c r="D55" s="19" t="s">
        <v>23</v>
      </c>
      <c r="E55" s="19" t="str">
        <f t="shared" si="2"/>
        <v>هومزمارت</v>
      </c>
      <c r="F55" s="34" t="s">
        <v>17</v>
      </c>
      <c r="G55" s="15" t="str">
        <f t="shared" si="3"/>
        <v>سرير</v>
      </c>
      <c r="H55" s="16" t="s">
        <v>77</v>
      </c>
      <c r="I55" s="34" t="s">
        <v>84</v>
      </c>
      <c r="J55" s="19">
        <v>100</v>
      </c>
      <c r="K55" s="16" t="s">
        <v>32</v>
      </c>
      <c r="L55" s="34"/>
      <c r="M55" s="5" t="s">
        <v>183</v>
      </c>
      <c r="N55" s="44">
        <v>12399</v>
      </c>
      <c r="O55" s="22" t="s">
        <v>71</v>
      </c>
      <c r="P55" s="15" t="s">
        <v>72</v>
      </c>
      <c r="Q55" s="15" t="s">
        <v>15</v>
      </c>
      <c r="R55" s="60" t="s">
        <v>26</v>
      </c>
    </row>
    <row r="56" spans="1:18" ht="20.100000000000001" customHeight="1" x14ac:dyDescent="0.25">
      <c r="A56" s="55" t="s">
        <v>184</v>
      </c>
      <c r="B56" s="15" t="s">
        <v>28</v>
      </c>
      <c r="C56" s="16" t="s">
        <v>27</v>
      </c>
      <c r="D56" s="19" t="s">
        <v>23</v>
      </c>
      <c r="E56" s="19" t="str">
        <f t="shared" si="2"/>
        <v>هومزمارت</v>
      </c>
      <c r="F56" s="34" t="s">
        <v>24</v>
      </c>
      <c r="G56" s="15" t="str">
        <f t="shared" si="3"/>
        <v>كنبه</v>
      </c>
      <c r="H56" s="16" t="s">
        <v>87</v>
      </c>
      <c r="I56" s="34"/>
      <c r="J56" s="26"/>
      <c r="K56" s="16" t="s">
        <v>18</v>
      </c>
      <c r="L56" s="16" t="s">
        <v>145</v>
      </c>
      <c r="M56" s="21" t="s">
        <v>161</v>
      </c>
      <c r="N56" s="38">
        <v>21999</v>
      </c>
      <c r="O56" s="22" t="s">
        <v>71</v>
      </c>
      <c r="P56" s="16" t="s">
        <v>254</v>
      </c>
      <c r="Q56" s="15" t="s">
        <v>15</v>
      </c>
      <c r="R56" s="60" t="s">
        <v>26</v>
      </c>
    </row>
    <row r="57" spans="1:18" ht="20.100000000000001" customHeight="1" x14ac:dyDescent="0.25">
      <c r="A57" s="55" t="s">
        <v>185</v>
      </c>
      <c r="B57" s="15" t="s">
        <v>28</v>
      </c>
      <c r="C57" s="16" t="s">
        <v>27</v>
      </c>
      <c r="D57" s="19" t="s">
        <v>23</v>
      </c>
      <c r="E57" s="19" t="str">
        <f t="shared" si="2"/>
        <v>هومزمارت</v>
      </c>
      <c r="F57" s="16" t="s">
        <v>17</v>
      </c>
      <c r="G57" s="15" t="str">
        <f t="shared" si="3"/>
        <v>سرير</v>
      </c>
      <c r="H57" s="16" t="s">
        <v>77</v>
      </c>
      <c r="I57" s="16" t="s">
        <v>84</v>
      </c>
      <c r="J57" s="16">
        <v>80</v>
      </c>
      <c r="K57" s="16" t="s">
        <v>25</v>
      </c>
      <c r="L57" s="16"/>
      <c r="M57" s="21" t="s">
        <v>186</v>
      </c>
      <c r="N57" s="38">
        <v>10999</v>
      </c>
      <c r="O57" s="22" t="s">
        <v>128</v>
      </c>
      <c r="P57" s="16" t="s">
        <v>254</v>
      </c>
      <c r="Q57" s="15" t="s">
        <v>15</v>
      </c>
      <c r="R57" s="60" t="s">
        <v>26</v>
      </c>
    </row>
    <row r="58" spans="1:18" ht="20.100000000000001" customHeight="1" x14ac:dyDescent="0.25">
      <c r="A58" s="21" t="s">
        <v>187</v>
      </c>
      <c r="B58" s="15" t="s">
        <v>28</v>
      </c>
      <c r="C58" s="16" t="s">
        <v>27</v>
      </c>
      <c r="D58" s="19" t="s">
        <v>23</v>
      </c>
      <c r="E58" s="19" t="str">
        <f t="shared" si="2"/>
        <v>هومزمارت</v>
      </c>
      <c r="F58" s="16" t="s">
        <v>17</v>
      </c>
      <c r="G58" s="15" t="str">
        <f t="shared" si="3"/>
        <v>سرير</v>
      </c>
      <c r="H58" s="16" t="s">
        <v>77</v>
      </c>
      <c r="I58" s="16" t="s">
        <v>78</v>
      </c>
      <c r="J58" s="16">
        <v>80</v>
      </c>
      <c r="K58" s="16" t="s">
        <v>18</v>
      </c>
      <c r="L58" s="16"/>
      <c r="M58" s="21"/>
      <c r="N58" s="38">
        <v>10999</v>
      </c>
      <c r="O58" s="22" t="s">
        <v>128</v>
      </c>
      <c r="P58" s="16" t="s">
        <v>254</v>
      </c>
      <c r="Q58" s="15" t="s">
        <v>15</v>
      </c>
      <c r="R58" s="60" t="s">
        <v>26</v>
      </c>
    </row>
    <row r="59" spans="1:18" ht="20.100000000000001" customHeight="1" x14ac:dyDescent="0.25">
      <c r="A59" s="21" t="s">
        <v>187</v>
      </c>
      <c r="B59" s="15" t="s">
        <v>28</v>
      </c>
      <c r="C59" s="16" t="s">
        <v>27</v>
      </c>
      <c r="D59" s="19" t="s">
        <v>23</v>
      </c>
      <c r="E59" s="19" t="str">
        <f t="shared" si="2"/>
        <v>هومزمارت</v>
      </c>
      <c r="F59" s="16" t="s">
        <v>17</v>
      </c>
      <c r="G59" s="15" t="str">
        <f t="shared" si="3"/>
        <v>سرير</v>
      </c>
      <c r="H59" s="16" t="s">
        <v>77</v>
      </c>
      <c r="I59" s="16" t="s">
        <v>78</v>
      </c>
      <c r="J59" s="16">
        <v>80</v>
      </c>
      <c r="K59" s="16" t="s">
        <v>18</v>
      </c>
      <c r="L59" s="16"/>
      <c r="M59" s="21"/>
      <c r="N59" s="38">
        <v>10999</v>
      </c>
      <c r="O59" s="22" t="s">
        <v>128</v>
      </c>
      <c r="P59" s="16" t="s">
        <v>254</v>
      </c>
      <c r="Q59" s="15" t="s">
        <v>15</v>
      </c>
      <c r="R59" s="60" t="s">
        <v>26</v>
      </c>
    </row>
    <row r="60" spans="1:18" ht="20.100000000000001" customHeight="1" x14ac:dyDescent="0.25">
      <c r="A60" s="55" t="s">
        <v>188</v>
      </c>
      <c r="B60" s="15" t="s">
        <v>28</v>
      </c>
      <c r="C60" s="16" t="s">
        <v>27</v>
      </c>
      <c r="D60" s="19" t="s">
        <v>23</v>
      </c>
      <c r="E60" s="19" t="str">
        <f t="shared" si="2"/>
        <v>هومزمارت</v>
      </c>
      <c r="F60" s="34" t="s">
        <v>24</v>
      </c>
      <c r="G60" s="15" t="str">
        <f t="shared" si="3"/>
        <v>كنبه</v>
      </c>
      <c r="H60" s="16" t="s">
        <v>87</v>
      </c>
      <c r="I60" s="16"/>
      <c r="J60" s="19"/>
      <c r="K60" s="16" t="s">
        <v>18</v>
      </c>
      <c r="L60" s="16" t="s">
        <v>145</v>
      </c>
      <c r="M60" s="21"/>
      <c r="N60" s="38">
        <v>21999</v>
      </c>
      <c r="O60" s="22" t="s">
        <v>128</v>
      </c>
      <c r="P60" s="16" t="s">
        <v>254</v>
      </c>
      <c r="Q60" s="15" t="s">
        <v>15</v>
      </c>
      <c r="R60" s="60" t="s">
        <v>26</v>
      </c>
    </row>
    <row r="61" spans="1:18" ht="20.100000000000001" customHeight="1" x14ac:dyDescent="0.25">
      <c r="A61" s="52" t="s">
        <v>189</v>
      </c>
      <c r="B61" s="15" t="s">
        <v>28</v>
      </c>
      <c r="C61" s="15" t="s">
        <v>43</v>
      </c>
      <c r="D61" s="19" t="s">
        <v>23</v>
      </c>
      <c r="E61" s="19" t="str">
        <f t="shared" si="2"/>
        <v>هومزمارت</v>
      </c>
      <c r="F61" s="16" t="s">
        <v>31</v>
      </c>
      <c r="G61" s="15" t="str">
        <f t="shared" si="3"/>
        <v>تربيزه</v>
      </c>
      <c r="H61" s="16" t="s">
        <v>105</v>
      </c>
      <c r="I61" s="15"/>
      <c r="J61" s="15"/>
      <c r="K61" s="16" t="s">
        <v>18</v>
      </c>
      <c r="L61" s="15"/>
      <c r="M61" s="16"/>
      <c r="N61" s="37">
        <v>7849</v>
      </c>
      <c r="O61" s="22" t="s">
        <v>75</v>
      </c>
      <c r="P61" s="15" t="s">
        <v>72</v>
      </c>
      <c r="Q61" s="15" t="s">
        <v>15</v>
      </c>
      <c r="R61" s="60" t="s">
        <v>19</v>
      </c>
    </row>
    <row r="62" spans="1:18" ht="20.100000000000001" customHeight="1" x14ac:dyDescent="0.25">
      <c r="A62" s="21" t="s">
        <v>123</v>
      </c>
      <c r="B62" s="16" t="s">
        <v>34</v>
      </c>
      <c r="C62" s="16" t="s">
        <v>39</v>
      </c>
      <c r="D62" s="16" t="s">
        <v>108</v>
      </c>
      <c r="E62" s="16" t="str">
        <f t="shared" si="2"/>
        <v>اوسكار ريتن</v>
      </c>
      <c r="F62" s="16" t="s">
        <v>17</v>
      </c>
      <c r="G62" s="15" t="str">
        <f t="shared" si="3"/>
        <v>سرير</v>
      </c>
      <c r="H62" s="16" t="s">
        <v>77</v>
      </c>
      <c r="I62" s="16" t="s">
        <v>78</v>
      </c>
      <c r="J62" s="16">
        <v>80</v>
      </c>
      <c r="K62" s="16" t="s">
        <v>18</v>
      </c>
      <c r="L62" s="16"/>
      <c r="M62" s="16"/>
      <c r="N62" s="38">
        <v>5074</v>
      </c>
      <c r="O62" s="18" t="s">
        <v>125</v>
      </c>
      <c r="P62" s="16" t="s">
        <v>254</v>
      </c>
      <c r="Q62" s="15" t="s">
        <v>15</v>
      </c>
      <c r="R62" s="60" t="s">
        <v>19</v>
      </c>
    </row>
    <row r="63" spans="1:18" ht="20.100000000000001" customHeight="1" x14ac:dyDescent="0.25">
      <c r="A63" s="21" t="s">
        <v>93</v>
      </c>
      <c r="B63" s="16" t="s">
        <v>34</v>
      </c>
      <c r="C63" s="16" t="s">
        <v>27</v>
      </c>
      <c r="D63" s="16" t="s">
        <v>40</v>
      </c>
      <c r="E63" s="16" t="str">
        <f t="shared" si="2"/>
        <v>تاكى</v>
      </c>
      <c r="F63" s="16" t="s">
        <v>17</v>
      </c>
      <c r="G63" s="15" t="str">
        <f t="shared" si="3"/>
        <v>سرير</v>
      </c>
      <c r="H63" s="16" t="s">
        <v>77</v>
      </c>
      <c r="I63" s="16" t="s">
        <v>111</v>
      </c>
      <c r="J63" s="19">
        <v>100</v>
      </c>
      <c r="K63" s="16" t="s">
        <v>52</v>
      </c>
      <c r="L63" s="16"/>
      <c r="M63" s="16"/>
      <c r="N63" s="38">
        <v>6250</v>
      </c>
      <c r="O63" s="18" t="s">
        <v>125</v>
      </c>
      <c r="P63" s="16" t="s">
        <v>254</v>
      </c>
      <c r="Q63" s="15" t="s">
        <v>15</v>
      </c>
      <c r="R63" s="60" t="s">
        <v>19</v>
      </c>
    </row>
    <row r="64" spans="1:18" ht="20.100000000000001" customHeight="1" x14ac:dyDescent="0.25">
      <c r="A64" s="21" t="s">
        <v>93</v>
      </c>
      <c r="B64" s="16" t="s">
        <v>34</v>
      </c>
      <c r="C64" s="16" t="s">
        <v>27</v>
      </c>
      <c r="D64" s="16" t="s">
        <v>40</v>
      </c>
      <c r="E64" s="16" t="str">
        <f t="shared" si="2"/>
        <v>تاكى</v>
      </c>
      <c r="F64" s="16" t="s">
        <v>17</v>
      </c>
      <c r="G64" s="15" t="str">
        <f t="shared" si="3"/>
        <v>سرير</v>
      </c>
      <c r="H64" s="16" t="s">
        <v>77</v>
      </c>
      <c r="I64" s="16" t="s">
        <v>111</v>
      </c>
      <c r="J64" s="19">
        <v>100</v>
      </c>
      <c r="K64" s="16" t="s">
        <v>52</v>
      </c>
      <c r="L64" s="16"/>
      <c r="M64" s="16"/>
      <c r="N64" s="38">
        <v>6250</v>
      </c>
      <c r="O64" s="18" t="s">
        <v>125</v>
      </c>
      <c r="P64" s="16" t="s">
        <v>254</v>
      </c>
      <c r="Q64" s="15" t="s">
        <v>15</v>
      </c>
      <c r="R64" s="60" t="s">
        <v>19</v>
      </c>
    </row>
    <row r="65" spans="1:18" ht="20.100000000000001" customHeight="1" x14ac:dyDescent="0.25">
      <c r="A65" s="21" t="s">
        <v>190</v>
      </c>
      <c r="B65" s="15" t="s">
        <v>28</v>
      </c>
      <c r="C65" s="16" t="s">
        <v>27</v>
      </c>
      <c r="D65" s="16" t="s">
        <v>23</v>
      </c>
      <c r="E65" s="16" t="str">
        <f t="shared" si="2"/>
        <v>هومزمارت</v>
      </c>
      <c r="F65" s="16" t="s">
        <v>17</v>
      </c>
      <c r="G65" s="15" t="str">
        <f t="shared" si="3"/>
        <v>سرير</v>
      </c>
      <c r="H65" s="16" t="s">
        <v>91</v>
      </c>
      <c r="I65" s="16" t="s">
        <v>113</v>
      </c>
      <c r="J65" s="16">
        <v>120</v>
      </c>
      <c r="K65" s="16" t="s">
        <v>18</v>
      </c>
      <c r="L65" s="16"/>
      <c r="M65" s="16"/>
      <c r="N65" s="38">
        <v>8943</v>
      </c>
      <c r="O65" s="22" t="s">
        <v>75</v>
      </c>
      <c r="P65" s="16" t="s">
        <v>254</v>
      </c>
      <c r="Q65" s="15" t="s">
        <v>15</v>
      </c>
      <c r="R65" s="60" t="s">
        <v>26</v>
      </c>
    </row>
    <row r="66" spans="1:18" ht="20.100000000000001" customHeight="1" x14ac:dyDescent="0.25">
      <c r="A66" s="24" t="s">
        <v>191</v>
      </c>
      <c r="B66" s="15" t="s">
        <v>28</v>
      </c>
      <c r="C66" s="9" t="s">
        <v>33</v>
      </c>
      <c r="D66" s="9" t="s">
        <v>23</v>
      </c>
      <c r="E66" s="9" t="str">
        <f t="shared" ref="E66:E97" si="4">TRIM(CLEAN(D66))</f>
        <v>هومزمارت</v>
      </c>
      <c r="F66" s="9" t="s">
        <v>31</v>
      </c>
      <c r="G66" s="15" t="str">
        <f t="shared" ref="G66:G97" si="5">TRIM(CLEAN(F66))</f>
        <v>تربيزه</v>
      </c>
      <c r="H66" s="9" t="s">
        <v>132</v>
      </c>
      <c r="I66" s="9"/>
      <c r="J66" s="9"/>
      <c r="K66" s="9" t="s">
        <v>18</v>
      </c>
      <c r="L66" s="9"/>
      <c r="M66" s="41"/>
      <c r="N66" s="41">
        <v>8349</v>
      </c>
      <c r="O66" s="11" t="s">
        <v>75</v>
      </c>
      <c r="P66" s="9"/>
      <c r="Q66" s="6" t="s">
        <v>22</v>
      </c>
      <c r="R66" s="61" t="s">
        <v>249</v>
      </c>
    </row>
    <row r="67" spans="1:18" ht="20.100000000000001" customHeight="1" x14ac:dyDescent="0.25">
      <c r="A67" s="21" t="s">
        <v>86</v>
      </c>
      <c r="B67" s="16" t="s">
        <v>34</v>
      </c>
      <c r="C67" s="16" t="s">
        <v>27</v>
      </c>
      <c r="D67" s="16" t="s">
        <v>30</v>
      </c>
      <c r="E67" s="16" t="str">
        <f t="shared" si="4"/>
        <v>شيك هومز</v>
      </c>
      <c r="F67" s="34" t="s">
        <v>24</v>
      </c>
      <c r="G67" s="15" t="str">
        <f t="shared" si="5"/>
        <v>كنبه</v>
      </c>
      <c r="H67" s="16" t="s">
        <v>87</v>
      </c>
      <c r="I67" s="16"/>
      <c r="J67" s="16"/>
      <c r="K67" s="16" t="s">
        <v>18</v>
      </c>
      <c r="L67" s="16" t="s">
        <v>55</v>
      </c>
      <c r="M67" s="16"/>
      <c r="N67" s="38">
        <v>14950</v>
      </c>
      <c r="O67" s="18" t="s">
        <v>71</v>
      </c>
      <c r="P67" s="16" t="s">
        <v>254</v>
      </c>
      <c r="Q67" s="15" t="s">
        <v>15</v>
      </c>
      <c r="R67" s="60" t="s">
        <v>26</v>
      </c>
    </row>
    <row r="68" spans="1:18" ht="20.100000000000001" customHeight="1" x14ac:dyDescent="0.25">
      <c r="A68" s="12" t="s">
        <v>86</v>
      </c>
      <c r="B68" s="16" t="s">
        <v>34</v>
      </c>
      <c r="C68" s="6" t="s">
        <v>33</v>
      </c>
      <c r="D68" s="6" t="s">
        <v>30</v>
      </c>
      <c r="E68" s="6" t="str">
        <f t="shared" si="4"/>
        <v>شيك هومز</v>
      </c>
      <c r="F68" s="6" t="s">
        <v>17</v>
      </c>
      <c r="G68" s="15" t="str">
        <f t="shared" si="5"/>
        <v>سرير</v>
      </c>
      <c r="H68" s="6" t="s">
        <v>77</v>
      </c>
      <c r="I68" s="6" t="s">
        <v>111</v>
      </c>
      <c r="J68" s="6">
        <v>100</v>
      </c>
      <c r="K68" s="6" t="s">
        <v>18</v>
      </c>
      <c r="L68" s="6"/>
      <c r="M68" s="6"/>
      <c r="N68" s="40">
        <v>9208</v>
      </c>
      <c r="O68" s="11" t="s">
        <v>75</v>
      </c>
      <c r="P68" s="7"/>
      <c r="Q68" s="6" t="s">
        <v>22</v>
      </c>
      <c r="R68" s="61" t="s">
        <v>249</v>
      </c>
    </row>
    <row r="69" spans="1:18" ht="20.100000000000001" customHeight="1" x14ac:dyDescent="0.25">
      <c r="A69" s="21" t="s">
        <v>86</v>
      </c>
      <c r="B69" s="16" t="s">
        <v>34</v>
      </c>
      <c r="C69" s="16" t="s">
        <v>33</v>
      </c>
      <c r="D69" s="16" t="s">
        <v>30</v>
      </c>
      <c r="E69" s="16" t="str">
        <f t="shared" si="4"/>
        <v>شيك هومز</v>
      </c>
      <c r="F69" s="16" t="s">
        <v>17</v>
      </c>
      <c r="G69" s="15" t="str">
        <f t="shared" si="5"/>
        <v>سرير</v>
      </c>
      <c r="H69" s="16" t="s">
        <v>91</v>
      </c>
      <c r="I69" s="16" t="s">
        <v>119</v>
      </c>
      <c r="J69" s="16">
        <v>120</v>
      </c>
      <c r="K69" s="16" t="s">
        <v>18</v>
      </c>
      <c r="L69" s="16"/>
      <c r="M69" s="16"/>
      <c r="N69" s="38">
        <v>7433</v>
      </c>
      <c r="O69" s="18" t="s">
        <v>71</v>
      </c>
      <c r="P69" s="16" t="s">
        <v>254</v>
      </c>
      <c r="Q69" s="15" t="s">
        <v>15</v>
      </c>
      <c r="R69" s="60" t="s">
        <v>19</v>
      </c>
    </row>
    <row r="70" spans="1:18" ht="20.100000000000001" customHeight="1" x14ac:dyDescent="0.25">
      <c r="A70" s="21" t="s">
        <v>123</v>
      </c>
      <c r="B70" s="16" t="s">
        <v>34</v>
      </c>
      <c r="C70" s="16" t="s">
        <v>39</v>
      </c>
      <c r="D70" s="16" t="s">
        <v>108</v>
      </c>
      <c r="E70" s="16" t="str">
        <f t="shared" si="4"/>
        <v>اوسكار ريتن</v>
      </c>
      <c r="F70" s="16" t="s">
        <v>17</v>
      </c>
      <c r="G70" s="15" t="str">
        <f t="shared" si="5"/>
        <v>سرير</v>
      </c>
      <c r="H70" s="16" t="s">
        <v>91</v>
      </c>
      <c r="I70" s="16" t="s">
        <v>113</v>
      </c>
      <c r="J70" s="16">
        <v>120</v>
      </c>
      <c r="K70" s="16" t="s">
        <v>18</v>
      </c>
      <c r="L70" s="16"/>
      <c r="M70" s="16"/>
      <c r="N70" s="38">
        <v>4020</v>
      </c>
      <c r="O70" s="18" t="s">
        <v>125</v>
      </c>
      <c r="P70" s="16" t="s">
        <v>254</v>
      </c>
      <c r="Q70" s="15" t="s">
        <v>15</v>
      </c>
      <c r="R70" s="60" t="s">
        <v>26</v>
      </c>
    </row>
    <row r="71" spans="1:18" ht="20.100000000000001" customHeight="1" x14ac:dyDescent="0.25">
      <c r="A71" s="21" t="s">
        <v>192</v>
      </c>
      <c r="B71" s="15" t="s">
        <v>28</v>
      </c>
      <c r="C71" s="34" t="s">
        <v>43</v>
      </c>
      <c r="D71" s="19" t="s">
        <v>23</v>
      </c>
      <c r="E71" s="19" t="str">
        <f t="shared" si="4"/>
        <v>هومزمارت</v>
      </c>
      <c r="F71" s="16" t="s">
        <v>17</v>
      </c>
      <c r="G71" s="15" t="str">
        <f t="shared" si="5"/>
        <v>سرير</v>
      </c>
      <c r="H71" s="16" t="s">
        <v>77</v>
      </c>
      <c r="I71" s="16" t="s">
        <v>193</v>
      </c>
      <c r="J71" s="16">
        <v>100</v>
      </c>
      <c r="K71" s="16" t="s">
        <v>56</v>
      </c>
      <c r="L71" s="16"/>
      <c r="M71" s="16"/>
      <c r="N71" s="38">
        <v>8544.9054400000005</v>
      </c>
      <c r="O71" s="18" t="s">
        <v>75</v>
      </c>
      <c r="P71" s="16" t="s">
        <v>194</v>
      </c>
      <c r="Q71" s="15" t="s">
        <v>15</v>
      </c>
      <c r="R71" s="60" t="s">
        <v>26</v>
      </c>
    </row>
    <row r="72" spans="1:18" ht="20.100000000000001" customHeight="1" x14ac:dyDescent="0.35">
      <c r="A72" s="21" t="s">
        <v>192</v>
      </c>
      <c r="B72" s="15" t="s">
        <v>28</v>
      </c>
      <c r="C72" s="34" t="s">
        <v>43</v>
      </c>
      <c r="D72" s="19" t="s">
        <v>23</v>
      </c>
      <c r="E72" s="19" t="str">
        <f t="shared" si="4"/>
        <v>هومزمارت</v>
      </c>
      <c r="F72" s="16" t="s">
        <v>17</v>
      </c>
      <c r="G72" s="15" t="str">
        <f t="shared" si="5"/>
        <v>سرير</v>
      </c>
      <c r="H72" s="16" t="s">
        <v>69</v>
      </c>
      <c r="I72" s="16"/>
      <c r="J72" s="16"/>
      <c r="K72" s="16" t="s">
        <v>18</v>
      </c>
      <c r="L72" s="16" t="s">
        <v>195</v>
      </c>
      <c r="M72" s="16"/>
      <c r="N72" s="46">
        <v>4600</v>
      </c>
      <c r="O72" s="18" t="s">
        <v>75</v>
      </c>
      <c r="P72" s="16" t="s">
        <v>194</v>
      </c>
      <c r="Q72" s="15" t="s">
        <v>15</v>
      </c>
      <c r="R72" s="60" t="s">
        <v>26</v>
      </c>
    </row>
    <row r="73" spans="1:18" ht="20.100000000000001" customHeight="1" x14ac:dyDescent="0.25">
      <c r="A73" s="21" t="s">
        <v>192</v>
      </c>
      <c r="B73" s="15" t="s">
        <v>28</v>
      </c>
      <c r="C73" s="34" t="s">
        <v>43</v>
      </c>
      <c r="D73" s="19" t="s">
        <v>23</v>
      </c>
      <c r="E73" s="19" t="str">
        <f t="shared" si="4"/>
        <v>هومزمارت</v>
      </c>
      <c r="F73" s="34" t="s">
        <v>24</v>
      </c>
      <c r="G73" s="15" t="str">
        <f t="shared" si="5"/>
        <v>كنبه</v>
      </c>
      <c r="H73" s="15" t="s">
        <v>115</v>
      </c>
      <c r="I73" s="16"/>
      <c r="J73" s="16"/>
      <c r="K73" s="16" t="s">
        <v>18</v>
      </c>
      <c r="L73" s="16" t="s">
        <v>196</v>
      </c>
      <c r="M73" s="16"/>
      <c r="N73" s="38">
        <v>10000</v>
      </c>
      <c r="O73" s="18" t="s">
        <v>75</v>
      </c>
      <c r="P73" s="16" t="s">
        <v>194</v>
      </c>
      <c r="Q73" s="15" t="s">
        <v>15</v>
      </c>
      <c r="R73" s="60" t="s">
        <v>26</v>
      </c>
    </row>
    <row r="74" spans="1:18" ht="20.100000000000001" customHeight="1" x14ac:dyDescent="0.25">
      <c r="A74" s="21" t="s">
        <v>192</v>
      </c>
      <c r="B74" s="15" t="s">
        <v>28</v>
      </c>
      <c r="C74" s="34" t="s">
        <v>43</v>
      </c>
      <c r="D74" s="19" t="s">
        <v>23</v>
      </c>
      <c r="E74" s="19" t="str">
        <f t="shared" si="4"/>
        <v>هومزمارت</v>
      </c>
      <c r="F74" s="16" t="s">
        <v>41</v>
      </c>
      <c r="G74" s="15" t="str">
        <f t="shared" si="5"/>
        <v>شيزلونج</v>
      </c>
      <c r="H74" s="16"/>
      <c r="I74" s="16"/>
      <c r="J74" s="16"/>
      <c r="K74" s="16" t="s">
        <v>18</v>
      </c>
      <c r="L74" s="16" t="s">
        <v>55</v>
      </c>
      <c r="M74" s="16"/>
      <c r="N74" s="76">
        <v>10396</v>
      </c>
      <c r="O74" s="18" t="s">
        <v>75</v>
      </c>
      <c r="P74" s="16" t="s">
        <v>194</v>
      </c>
      <c r="Q74" s="15" t="s">
        <v>15</v>
      </c>
      <c r="R74" s="60" t="s">
        <v>26</v>
      </c>
    </row>
    <row r="75" spans="1:18" ht="20.100000000000001" customHeight="1" x14ac:dyDescent="0.25">
      <c r="A75" s="12" t="s">
        <v>197</v>
      </c>
      <c r="B75" s="15" t="s">
        <v>28</v>
      </c>
      <c r="C75" s="6" t="s">
        <v>33</v>
      </c>
      <c r="D75" s="6" t="s">
        <v>23</v>
      </c>
      <c r="E75" s="6" t="str">
        <f t="shared" si="4"/>
        <v>هومزمارت</v>
      </c>
      <c r="F75" s="6" t="s">
        <v>17</v>
      </c>
      <c r="G75" s="15" t="str">
        <f t="shared" si="5"/>
        <v>سرير</v>
      </c>
      <c r="H75" s="6" t="s">
        <v>69</v>
      </c>
      <c r="I75" s="6"/>
      <c r="J75" s="6"/>
      <c r="K75" s="6" t="s">
        <v>18</v>
      </c>
      <c r="L75" s="6" t="s">
        <v>18</v>
      </c>
      <c r="M75" s="6"/>
      <c r="N75" s="40">
        <v>8899</v>
      </c>
      <c r="O75" s="11" t="s">
        <v>75</v>
      </c>
      <c r="P75" s="7"/>
      <c r="Q75" s="7" t="s">
        <v>29</v>
      </c>
      <c r="R75" s="61" t="s">
        <v>249</v>
      </c>
    </row>
    <row r="76" spans="1:18" ht="20.100000000000001" customHeight="1" x14ac:dyDescent="0.25">
      <c r="A76" s="21" t="s">
        <v>86</v>
      </c>
      <c r="B76" s="16" t="s">
        <v>34</v>
      </c>
      <c r="C76" s="16" t="s">
        <v>33</v>
      </c>
      <c r="D76" s="16" t="s">
        <v>86</v>
      </c>
      <c r="E76" s="16" t="str">
        <f t="shared" si="4"/>
        <v>شيك هومز</v>
      </c>
      <c r="F76" s="34" t="s">
        <v>24</v>
      </c>
      <c r="G76" s="15" t="str">
        <f t="shared" si="5"/>
        <v>كنبه</v>
      </c>
      <c r="H76" s="16" t="s">
        <v>87</v>
      </c>
      <c r="I76" s="16"/>
      <c r="J76" s="16"/>
      <c r="K76" s="16" t="s">
        <v>18</v>
      </c>
      <c r="L76" s="16" t="s">
        <v>198</v>
      </c>
      <c r="M76" s="16"/>
      <c r="N76" s="38">
        <v>14550</v>
      </c>
      <c r="O76" s="18" t="s">
        <v>71</v>
      </c>
      <c r="P76" s="16" t="s">
        <v>254</v>
      </c>
      <c r="Q76" s="15" t="s">
        <v>15</v>
      </c>
      <c r="R76" s="60" t="s">
        <v>19</v>
      </c>
    </row>
    <row r="77" spans="1:18" ht="20.100000000000001" customHeight="1" x14ac:dyDescent="0.25">
      <c r="A77" s="21" t="s">
        <v>86</v>
      </c>
      <c r="B77" s="16" t="s">
        <v>34</v>
      </c>
      <c r="C77" s="16" t="s">
        <v>33</v>
      </c>
      <c r="D77" s="16" t="s">
        <v>30</v>
      </c>
      <c r="E77" s="16" t="str">
        <f t="shared" si="4"/>
        <v>شيك هومز</v>
      </c>
      <c r="F77" s="34" t="s">
        <v>24</v>
      </c>
      <c r="G77" s="15" t="str">
        <f t="shared" si="5"/>
        <v>كنبه</v>
      </c>
      <c r="H77" s="16" t="s">
        <v>87</v>
      </c>
      <c r="I77" s="16"/>
      <c r="J77" s="16"/>
      <c r="K77" s="16" t="s">
        <v>18</v>
      </c>
      <c r="L77" s="16" t="s">
        <v>198</v>
      </c>
      <c r="M77" s="16"/>
      <c r="N77" s="38">
        <v>14550</v>
      </c>
      <c r="O77" s="18" t="s">
        <v>71</v>
      </c>
      <c r="P77" s="16" t="s">
        <v>254</v>
      </c>
      <c r="Q77" s="15" t="s">
        <v>15</v>
      </c>
      <c r="R77" s="60" t="s">
        <v>26</v>
      </c>
    </row>
    <row r="78" spans="1:18" ht="20.100000000000001" customHeight="1" x14ac:dyDescent="0.25">
      <c r="A78" s="21" t="s">
        <v>86</v>
      </c>
      <c r="B78" s="16" t="s">
        <v>34</v>
      </c>
      <c r="C78" s="16" t="s">
        <v>33</v>
      </c>
      <c r="D78" s="16" t="s">
        <v>86</v>
      </c>
      <c r="E78" s="16" t="str">
        <f t="shared" si="4"/>
        <v>شيك هومز</v>
      </c>
      <c r="F78" s="16" t="s">
        <v>96</v>
      </c>
      <c r="G78" s="15" t="str">
        <f t="shared" si="5"/>
        <v>كنبه</v>
      </c>
      <c r="H78" s="16" t="s">
        <v>87</v>
      </c>
      <c r="I78" s="16"/>
      <c r="J78" s="16"/>
      <c r="K78" s="16" t="s">
        <v>18</v>
      </c>
      <c r="L78" s="16" t="s">
        <v>55</v>
      </c>
      <c r="M78" s="16"/>
      <c r="N78" s="38">
        <v>14550</v>
      </c>
      <c r="O78" s="18" t="s">
        <v>75</v>
      </c>
      <c r="P78" s="16" t="s">
        <v>254</v>
      </c>
      <c r="Q78" s="15" t="s">
        <v>15</v>
      </c>
      <c r="R78" s="60" t="s">
        <v>19</v>
      </c>
    </row>
    <row r="79" spans="1:18" ht="20.100000000000001" customHeight="1" x14ac:dyDescent="0.25">
      <c r="A79" s="21" t="s">
        <v>199</v>
      </c>
      <c r="B79" s="15" t="s">
        <v>28</v>
      </c>
      <c r="C79" s="16" t="s">
        <v>27</v>
      </c>
      <c r="D79" s="16" t="s">
        <v>23</v>
      </c>
      <c r="E79" s="16" t="str">
        <f t="shared" si="4"/>
        <v>هومزمارت</v>
      </c>
      <c r="F79" s="16" t="s">
        <v>17</v>
      </c>
      <c r="G79" s="15" t="str">
        <f t="shared" si="5"/>
        <v>سرير</v>
      </c>
      <c r="H79" s="16" t="s">
        <v>77</v>
      </c>
      <c r="I79" s="16" t="s">
        <v>200</v>
      </c>
      <c r="J79" s="16">
        <v>100</v>
      </c>
      <c r="K79" s="16" t="s">
        <v>42</v>
      </c>
      <c r="L79" s="16"/>
      <c r="M79" s="16"/>
      <c r="N79" s="38">
        <v>12899</v>
      </c>
      <c r="O79" s="18" t="s">
        <v>75</v>
      </c>
      <c r="P79" s="16" t="s">
        <v>254</v>
      </c>
      <c r="Q79" s="15" t="s">
        <v>15</v>
      </c>
      <c r="R79" s="60" t="s">
        <v>26</v>
      </c>
    </row>
    <row r="80" spans="1:18" ht="20.100000000000001" customHeight="1" x14ac:dyDescent="0.25">
      <c r="A80" s="21" t="s">
        <v>201</v>
      </c>
      <c r="B80" s="15" t="s">
        <v>28</v>
      </c>
      <c r="C80" s="16" t="s">
        <v>27</v>
      </c>
      <c r="D80" s="16" t="s">
        <v>23</v>
      </c>
      <c r="E80" s="16" t="str">
        <f t="shared" si="4"/>
        <v>هومزمارت</v>
      </c>
      <c r="F80" s="16" t="s">
        <v>17</v>
      </c>
      <c r="G80" s="15" t="str">
        <f t="shared" si="5"/>
        <v>سرير</v>
      </c>
      <c r="H80" s="16" t="s">
        <v>77</v>
      </c>
      <c r="I80" s="16" t="s">
        <v>78</v>
      </c>
      <c r="J80" s="16">
        <v>80</v>
      </c>
      <c r="K80" s="16" t="s">
        <v>18</v>
      </c>
      <c r="L80" s="16"/>
      <c r="M80" s="16"/>
      <c r="N80" s="38">
        <v>10499</v>
      </c>
      <c r="O80" s="18" t="s">
        <v>71</v>
      </c>
      <c r="P80" s="16" t="s">
        <v>254</v>
      </c>
      <c r="Q80" s="15" t="s">
        <v>15</v>
      </c>
      <c r="R80" s="60" t="s">
        <v>26</v>
      </c>
    </row>
    <row r="81" spans="1:18" ht="20.100000000000001" customHeight="1" x14ac:dyDescent="0.25">
      <c r="A81" s="21" t="s">
        <v>202</v>
      </c>
      <c r="B81" s="15" t="s">
        <v>28</v>
      </c>
      <c r="C81" s="16" t="s">
        <v>47</v>
      </c>
      <c r="D81" s="16" t="s">
        <v>23</v>
      </c>
      <c r="E81" s="16" t="str">
        <f t="shared" si="4"/>
        <v>هومزمارت</v>
      </c>
      <c r="F81" s="16" t="s">
        <v>17</v>
      </c>
      <c r="G81" s="15" t="str">
        <f t="shared" si="5"/>
        <v>سرير</v>
      </c>
      <c r="H81" s="16" t="s">
        <v>77</v>
      </c>
      <c r="I81" s="16" t="s">
        <v>84</v>
      </c>
      <c r="J81" s="16">
        <v>100</v>
      </c>
      <c r="K81" s="16" t="s">
        <v>42</v>
      </c>
      <c r="L81" s="16"/>
      <c r="M81" s="16"/>
      <c r="N81" s="38">
        <v>12899</v>
      </c>
      <c r="O81" s="18" t="s">
        <v>71</v>
      </c>
      <c r="P81" s="15" t="s">
        <v>72</v>
      </c>
      <c r="Q81" s="15" t="s">
        <v>15</v>
      </c>
      <c r="R81" s="60" t="s">
        <v>26</v>
      </c>
    </row>
    <row r="82" spans="1:18" ht="20.100000000000001" customHeight="1" x14ac:dyDescent="0.25">
      <c r="A82" s="21" t="s">
        <v>203</v>
      </c>
      <c r="B82" s="15" t="s">
        <v>28</v>
      </c>
      <c r="C82" s="16" t="s">
        <v>27</v>
      </c>
      <c r="D82" s="16" t="s">
        <v>204</v>
      </c>
      <c r="E82" s="16" t="str">
        <f t="shared" si="4"/>
        <v>منزلى</v>
      </c>
      <c r="F82" s="16" t="s">
        <v>17</v>
      </c>
      <c r="G82" s="15" t="str">
        <f t="shared" si="5"/>
        <v>سرير</v>
      </c>
      <c r="H82" s="16" t="s">
        <v>91</v>
      </c>
      <c r="I82" s="16" t="s">
        <v>205</v>
      </c>
      <c r="J82" s="16">
        <v>140</v>
      </c>
      <c r="K82" s="16" t="s">
        <v>55</v>
      </c>
      <c r="L82" s="16" t="s">
        <v>206</v>
      </c>
      <c r="M82" s="16"/>
      <c r="N82" s="38">
        <v>5135</v>
      </c>
      <c r="O82" s="18" t="s">
        <v>71</v>
      </c>
      <c r="P82" s="16" t="s">
        <v>254</v>
      </c>
      <c r="Q82" s="15" t="s">
        <v>15</v>
      </c>
      <c r="R82" s="60" t="s">
        <v>26</v>
      </c>
    </row>
    <row r="83" spans="1:18" ht="20.100000000000001" customHeight="1" x14ac:dyDescent="0.25">
      <c r="A83" s="21" t="s">
        <v>86</v>
      </c>
      <c r="B83" s="16" t="s">
        <v>34</v>
      </c>
      <c r="C83" s="16" t="s">
        <v>33</v>
      </c>
      <c r="D83" s="16" t="s">
        <v>30</v>
      </c>
      <c r="E83" s="16" t="str">
        <f t="shared" si="4"/>
        <v>شيك هومز</v>
      </c>
      <c r="F83" s="16" t="s">
        <v>17</v>
      </c>
      <c r="G83" s="15" t="str">
        <f t="shared" si="5"/>
        <v>سرير</v>
      </c>
      <c r="H83" s="16" t="s">
        <v>77</v>
      </c>
      <c r="I83" s="16" t="s">
        <v>193</v>
      </c>
      <c r="J83" s="16">
        <v>100</v>
      </c>
      <c r="K83" s="16" t="s">
        <v>49</v>
      </c>
      <c r="L83" s="16"/>
      <c r="M83" s="16"/>
      <c r="N83" s="38">
        <v>12777.5</v>
      </c>
      <c r="O83" s="18" t="s">
        <v>75</v>
      </c>
      <c r="P83" s="16" t="s">
        <v>254</v>
      </c>
      <c r="Q83" s="15" t="s">
        <v>15</v>
      </c>
      <c r="R83" s="60" t="s">
        <v>19</v>
      </c>
    </row>
    <row r="84" spans="1:18" ht="20.100000000000001" customHeight="1" x14ac:dyDescent="0.25">
      <c r="A84" s="12" t="s">
        <v>123</v>
      </c>
      <c r="B84" s="16" t="s">
        <v>34</v>
      </c>
      <c r="C84" s="6" t="s">
        <v>27</v>
      </c>
      <c r="D84" s="6" t="s">
        <v>108</v>
      </c>
      <c r="E84" s="6" t="str">
        <f t="shared" si="4"/>
        <v>اوسكار ريتن</v>
      </c>
      <c r="F84" s="6" t="s">
        <v>17</v>
      </c>
      <c r="G84" s="15" t="str">
        <f t="shared" si="5"/>
        <v>سرير</v>
      </c>
      <c r="H84" s="6" t="s">
        <v>77</v>
      </c>
      <c r="I84" s="6" t="s">
        <v>193</v>
      </c>
      <c r="J84" s="6">
        <v>100</v>
      </c>
      <c r="K84" s="6" t="s">
        <v>49</v>
      </c>
      <c r="L84" s="6"/>
      <c r="M84" s="6"/>
      <c r="N84" s="40">
        <v>8544.91</v>
      </c>
      <c r="O84" s="8" t="s">
        <v>125</v>
      </c>
      <c r="P84" s="7"/>
      <c r="Q84" s="6" t="s">
        <v>22</v>
      </c>
      <c r="R84" s="61" t="s">
        <v>249</v>
      </c>
    </row>
    <row r="85" spans="1:18" ht="20.100000000000001" customHeight="1" x14ac:dyDescent="0.25">
      <c r="A85" s="21" t="s">
        <v>207</v>
      </c>
      <c r="B85" s="15" t="s">
        <v>28</v>
      </c>
      <c r="C85" s="15" t="s">
        <v>33</v>
      </c>
      <c r="D85" s="16" t="s">
        <v>23</v>
      </c>
      <c r="E85" s="16" t="str">
        <f t="shared" si="4"/>
        <v>هومزمارت</v>
      </c>
      <c r="F85" s="16" t="s">
        <v>17</v>
      </c>
      <c r="G85" s="15" t="str">
        <f t="shared" si="5"/>
        <v>سرير</v>
      </c>
      <c r="H85" s="16" t="s">
        <v>91</v>
      </c>
      <c r="I85" s="16" t="s">
        <v>113</v>
      </c>
      <c r="J85" s="16">
        <v>120</v>
      </c>
      <c r="K85" s="16" t="s">
        <v>18</v>
      </c>
      <c r="L85" s="16"/>
      <c r="M85" s="16"/>
      <c r="N85" s="38">
        <v>8943</v>
      </c>
      <c r="O85" s="18" t="s">
        <v>75</v>
      </c>
      <c r="P85" s="16" t="s">
        <v>254</v>
      </c>
      <c r="Q85" s="15" t="s">
        <v>15</v>
      </c>
      <c r="R85" s="60" t="s">
        <v>19</v>
      </c>
    </row>
    <row r="86" spans="1:18" ht="20.100000000000001" customHeight="1" x14ac:dyDescent="0.25">
      <c r="A86" s="21" t="s">
        <v>86</v>
      </c>
      <c r="B86" s="16" t="s">
        <v>34</v>
      </c>
      <c r="C86" s="16" t="s">
        <v>33</v>
      </c>
      <c r="D86" s="16" t="s">
        <v>30</v>
      </c>
      <c r="E86" s="16" t="str">
        <f t="shared" si="4"/>
        <v>شيك هومز</v>
      </c>
      <c r="F86" s="16" t="s">
        <v>24</v>
      </c>
      <c r="G86" s="15" t="str">
        <f t="shared" si="5"/>
        <v>كنبه</v>
      </c>
      <c r="H86" s="16" t="s">
        <v>87</v>
      </c>
      <c r="I86" s="16"/>
      <c r="J86" s="16"/>
      <c r="K86" s="16" t="s">
        <v>18</v>
      </c>
      <c r="L86" s="16"/>
      <c r="M86" s="16"/>
      <c r="N86" s="38">
        <v>15516</v>
      </c>
      <c r="O86" s="18" t="s">
        <v>71</v>
      </c>
      <c r="P86" s="16" t="s">
        <v>254</v>
      </c>
      <c r="Q86" s="15" t="s">
        <v>15</v>
      </c>
      <c r="R86" s="60" t="s">
        <v>26</v>
      </c>
    </row>
    <row r="87" spans="1:18" ht="20.100000000000001" customHeight="1" x14ac:dyDescent="0.25">
      <c r="A87" s="12" t="s">
        <v>86</v>
      </c>
      <c r="B87" s="16" t="s">
        <v>34</v>
      </c>
      <c r="C87" s="6" t="s">
        <v>33</v>
      </c>
      <c r="D87" s="6" t="s">
        <v>30</v>
      </c>
      <c r="E87" s="6" t="str">
        <f t="shared" si="4"/>
        <v>شيك هومز</v>
      </c>
      <c r="F87" s="6" t="s">
        <v>17</v>
      </c>
      <c r="G87" s="15" t="str">
        <f t="shared" si="5"/>
        <v>سرير</v>
      </c>
      <c r="H87" s="6" t="s">
        <v>77</v>
      </c>
      <c r="I87" s="6" t="s">
        <v>111</v>
      </c>
      <c r="J87" s="6">
        <v>100</v>
      </c>
      <c r="K87" s="6" t="s">
        <v>18</v>
      </c>
      <c r="L87" s="6"/>
      <c r="M87" s="6"/>
      <c r="N87" s="40">
        <v>10045</v>
      </c>
      <c r="O87" s="8" t="s">
        <v>75</v>
      </c>
      <c r="P87" s="7"/>
      <c r="Q87" s="6" t="s">
        <v>22</v>
      </c>
      <c r="R87" s="61" t="s">
        <v>249</v>
      </c>
    </row>
    <row r="88" spans="1:18" ht="20.100000000000001" customHeight="1" x14ac:dyDescent="0.25">
      <c r="A88" s="21" t="s">
        <v>176</v>
      </c>
      <c r="B88" s="15" t="s">
        <v>28</v>
      </c>
      <c r="C88" s="15" t="s">
        <v>33</v>
      </c>
      <c r="D88" s="16" t="s">
        <v>23</v>
      </c>
      <c r="E88" s="16" t="str">
        <f t="shared" si="4"/>
        <v>هومزمارت</v>
      </c>
      <c r="F88" s="16" t="s">
        <v>17</v>
      </c>
      <c r="G88" s="15" t="str">
        <f t="shared" si="5"/>
        <v>سرير</v>
      </c>
      <c r="H88" s="16" t="s">
        <v>77</v>
      </c>
      <c r="I88" s="16" t="s">
        <v>111</v>
      </c>
      <c r="J88" s="16">
        <v>90</v>
      </c>
      <c r="K88" s="16" t="s">
        <v>18</v>
      </c>
      <c r="L88" s="16"/>
      <c r="M88" s="16"/>
      <c r="N88" s="38">
        <v>11649</v>
      </c>
      <c r="O88" s="18" t="s">
        <v>75</v>
      </c>
      <c r="P88" s="16" t="s">
        <v>254</v>
      </c>
      <c r="Q88" s="15" t="s">
        <v>15</v>
      </c>
      <c r="R88" s="60" t="s">
        <v>19</v>
      </c>
    </row>
    <row r="89" spans="1:18" ht="20.100000000000001" customHeight="1" x14ac:dyDescent="0.25">
      <c r="A89" s="21" t="s">
        <v>208</v>
      </c>
      <c r="B89" s="16" t="s">
        <v>34</v>
      </c>
      <c r="C89" s="16" t="s">
        <v>27</v>
      </c>
      <c r="D89" s="16" t="s">
        <v>30</v>
      </c>
      <c r="E89" s="16" t="str">
        <f t="shared" si="4"/>
        <v>شيك هومز</v>
      </c>
      <c r="F89" s="16" t="s">
        <v>17</v>
      </c>
      <c r="G89" s="15" t="str">
        <f t="shared" si="5"/>
        <v>سرير</v>
      </c>
      <c r="H89" s="16" t="s">
        <v>91</v>
      </c>
      <c r="I89" s="16" t="s">
        <v>119</v>
      </c>
      <c r="J89" s="16">
        <v>100</v>
      </c>
      <c r="K89" s="16" t="s">
        <v>18</v>
      </c>
      <c r="L89" s="16"/>
      <c r="M89" s="16"/>
      <c r="N89" s="38">
        <v>4800</v>
      </c>
      <c r="O89" s="18" t="s">
        <v>75</v>
      </c>
      <c r="P89" s="16" t="s">
        <v>254</v>
      </c>
      <c r="Q89" s="15" t="s">
        <v>15</v>
      </c>
      <c r="R89" s="60" t="s">
        <v>19</v>
      </c>
    </row>
    <row r="90" spans="1:18" ht="20.100000000000001" customHeight="1" x14ac:dyDescent="0.25">
      <c r="A90" s="21" t="s">
        <v>208</v>
      </c>
      <c r="B90" s="16" t="s">
        <v>34</v>
      </c>
      <c r="C90" s="16" t="s">
        <v>27</v>
      </c>
      <c r="D90" s="16" t="s">
        <v>30</v>
      </c>
      <c r="E90" s="16" t="str">
        <f t="shared" si="4"/>
        <v>شيك هومز</v>
      </c>
      <c r="F90" s="16" t="s">
        <v>17</v>
      </c>
      <c r="G90" s="15" t="str">
        <f t="shared" si="5"/>
        <v>سرير</v>
      </c>
      <c r="H90" s="16" t="s">
        <v>91</v>
      </c>
      <c r="I90" s="16" t="s">
        <v>119</v>
      </c>
      <c r="J90" s="16">
        <v>120</v>
      </c>
      <c r="K90" s="16" t="s">
        <v>18</v>
      </c>
      <c r="L90" s="16"/>
      <c r="M90" s="16"/>
      <c r="N90" s="38">
        <v>5000</v>
      </c>
      <c r="O90" s="18" t="s">
        <v>75</v>
      </c>
      <c r="P90" s="16" t="s">
        <v>254</v>
      </c>
      <c r="Q90" s="15" t="s">
        <v>15</v>
      </c>
      <c r="R90" s="60" t="s">
        <v>19</v>
      </c>
    </row>
    <row r="91" spans="1:18" ht="20.100000000000001" customHeight="1" x14ac:dyDescent="0.25">
      <c r="A91" s="21" t="s">
        <v>209</v>
      </c>
      <c r="B91" s="15" t="s">
        <v>28</v>
      </c>
      <c r="C91" s="16" t="s">
        <v>27</v>
      </c>
      <c r="D91" s="16" t="s">
        <v>23</v>
      </c>
      <c r="E91" s="16" t="str">
        <f t="shared" si="4"/>
        <v>هومزمارت</v>
      </c>
      <c r="F91" s="16" t="s">
        <v>17</v>
      </c>
      <c r="G91" s="15" t="str">
        <f t="shared" si="5"/>
        <v>سرير</v>
      </c>
      <c r="H91" s="16" t="s">
        <v>77</v>
      </c>
      <c r="I91" s="16" t="s">
        <v>78</v>
      </c>
      <c r="J91" s="16">
        <v>80</v>
      </c>
      <c r="K91" s="16" t="s">
        <v>18</v>
      </c>
      <c r="L91" s="16"/>
      <c r="M91" s="16"/>
      <c r="N91" s="38">
        <v>12099</v>
      </c>
      <c r="O91" s="18" t="s">
        <v>71</v>
      </c>
      <c r="P91" s="16" t="s">
        <v>254</v>
      </c>
      <c r="Q91" s="15" t="s">
        <v>15</v>
      </c>
      <c r="R91" s="60" t="s">
        <v>19</v>
      </c>
    </row>
    <row r="92" spans="1:18" ht="20.100000000000001" customHeight="1" x14ac:dyDescent="0.25">
      <c r="A92" s="21" t="s">
        <v>30</v>
      </c>
      <c r="B92" s="16" t="s">
        <v>34</v>
      </c>
      <c r="C92" s="16" t="s">
        <v>33</v>
      </c>
      <c r="D92" s="16" t="s">
        <v>30</v>
      </c>
      <c r="E92" s="16" t="str">
        <f t="shared" si="4"/>
        <v>شيك هومز</v>
      </c>
      <c r="F92" s="16" t="s">
        <v>24</v>
      </c>
      <c r="G92" s="15" t="str">
        <f t="shared" si="5"/>
        <v>كنبه</v>
      </c>
      <c r="H92" s="16" t="s">
        <v>87</v>
      </c>
      <c r="I92" s="16" t="s">
        <v>210</v>
      </c>
      <c r="J92" s="16"/>
      <c r="K92" s="16" t="s">
        <v>18</v>
      </c>
      <c r="L92" s="16" t="s">
        <v>211</v>
      </c>
      <c r="M92" s="16"/>
      <c r="N92" s="38">
        <v>15872</v>
      </c>
      <c r="O92" s="18" t="s">
        <v>71</v>
      </c>
      <c r="P92" s="16" t="s">
        <v>254</v>
      </c>
      <c r="Q92" s="15" t="s">
        <v>15</v>
      </c>
      <c r="R92" s="60" t="s">
        <v>26</v>
      </c>
    </row>
    <row r="93" spans="1:18" ht="20.100000000000001" customHeight="1" x14ac:dyDescent="0.25">
      <c r="A93" s="21" t="s">
        <v>48</v>
      </c>
      <c r="B93" s="15" t="s">
        <v>28</v>
      </c>
      <c r="C93" s="16" t="s">
        <v>27</v>
      </c>
      <c r="D93" s="16" t="s">
        <v>48</v>
      </c>
      <c r="E93" s="16" t="str">
        <f t="shared" si="4"/>
        <v>منزلى</v>
      </c>
      <c r="F93" s="16" t="s">
        <v>17</v>
      </c>
      <c r="G93" s="15" t="str">
        <f t="shared" si="5"/>
        <v>سرير</v>
      </c>
      <c r="H93" s="16" t="s">
        <v>91</v>
      </c>
      <c r="I93" s="16" t="s">
        <v>113</v>
      </c>
      <c r="J93" s="16">
        <v>120</v>
      </c>
      <c r="K93" s="16" t="s">
        <v>18</v>
      </c>
      <c r="L93" s="16"/>
      <c r="M93" s="16"/>
      <c r="N93" s="38">
        <v>4520</v>
      </c>
      <c r="O93" s="18" t="s">
        <v>125</v>
      </c>
      <c r="P93" s="16" t="s">
        <v>254</v>
      </c>
      <c r="Q93" s="15" t="s">
        <v>15</v>
      </c>
      <c r="R93" s="60" t="s">
        <v>26</v>
      </c>
    </row>
    <row r="94" spans="1:18" ht="20.100000000000001" customHeight="1" x14ac:dyDescent="0.25">
      <c r="A94" s="21" t="s">
        <v>123</v>
      </c>
      <c r="B94" s="16" t="s">
        <v>34</v>
      </c>
      <c r="C94" s="16" t="s">
        <v>39</v>
      </c>
      <c r="D94" s="16" t="s">
        <v>108</v>
      </c>
      <c r="E94" s="16" t="str">
        <f t="shared" si="4"/>
        <v>اوسكار ريتن</v>
      </c>
      <c r="F94" s="16" t="s">
        <v>17</v>
      </c>
      <c r="G94" s="15" t="str">
        <f t="shared" si="5"/>
        <v>سرير</v>
      </c>
      <c r="H94" s="16" t="s">
        <v>77</v>
      </c>
      <c r="I94" s="16" t="s">
        <v>111</v>
      </c>
      <c r="J94" s="16">
        <v>90</v>
      </c>
      <c r="K94" s="16" t="s">
        <v>18</v>
      </c>
      <c r="L94" s="16"/>
      <c r="M94" s="16"/>
      <c r="N94" s="38">
        <v>5766</v>
      </c>
      <c r="O94" s="18" t="s">
        <v>125</v>
      </c>
      <c r="P94" s="16" t="s">
        <v>254</v>
      </c>
      <c r="Q94" s="15" t="s">
        <v>15</v>
      </c>
      <c r="R94" s="60" t="s">
        <v>26</v>
      </c>
    </row>
    <row r="95" spans="1:18" ht="20.100000000000001" customHeight="1" x14ac:dyDescent="0.25">
      <c r="A95" s="21" t="s">
        <v>212</v>
      </c>
      <c r="B95" s="15" t="s">
        <v>28</v>
      </c>
      <c r="C95" s="16" t="s">
        <v>27</v>
      </c>
      <c r="D95" s="16" t="s">
        <v>23</v>
      </c>
      <c r="E95" s="16" t="str">
        <f t="shared" si="4"/>
        <v>هومزمارت</v>
      </c>
      <c r="F95" s="16" t="s">
        <v>17</v>
      </c>
      <c r="G95" s="15" t="str">
        <f t="shared" si="5"/>
        <v>سرير</v>
      </c>
      <c r="H95" s="16" t="s">
        <v>91</v>
      </c>
      <c r="I95" s="16" t="s">
        <v>113</v>
      </c>
      <c r="J95" s="16">
        <v>160</v>
      </c>
      <c r="K95" s="16" t="s">
        <v>54</v>
      </c>
      <c r="L95" s="16"/>
      <c r="M95" s="16"/>
      <c r="N95" s="38">
        <v>11395</v>
      </c>
      <c r="O95" s="18" t="s">
        <v>71</v>
      </c>
      <c r="P95" s="16" t="s">
        <v>254</v>
      </c>
      <c r="Q95" s="15" t="s">
        <v>15</v>
      </c>
      <c r="R95" s="60" t="s">
        <v>19</v>
      </c>
    </row>
    <row r="96" spans="1:18" ht="20.100000000000001" customHeight="1" x14ac:dyDescent="0.25">
      <c r="A96" s="21" t="s">
        <v>213</v>
      </c>
      <c r="B96" s="15" t="s">
        <v>28</v>
      </c>
      <c r="C96" s="16" t="s">
        <v>27</v>
      </c>
      <c r="D96" s="16" t="s">
        <v>23</v>
      </c>
      <c r="E96" s="16" t="str">
        <f t="shared" si="4"/>
        <v>هومزمارت</v>
      </c>
      <c r="F96" s="16" t="s">
        <v>17</v>
      </c>
      <c r="G96" s="15" t="str">
        <f t="shared" si="5"/>
        <v>سرير</v>
      </c>
      <c r="H96" s="16" t="s">
        <v>77</v>
      </c>
      <c r="I96" s="16" t="s">
        <v>214</v>
      </c>
      <c r="J96" s="16">
        <v>80</v>
      </c>
      <c r="K96" s="16" t="s">
        <v>25</v>
      </c>
      <c r="L96" s="16"/>
      <c r="M96" s="16"/>
      <c r="N96" s="38">
        <v>12919</v>
      </c>
      <c r="O96" s="18" t="s">
        <v>71</v>
      </c>
      <c r="P96" s="16" t="s">
        <v>254</v>
      </c>
      <c r="Q96" s="15" t="s">
        <v>15</v>
      </c>
      <c r="R96" s="60" t="s">
        <v>26</v>
      </c>
    </row>
    <row r="97" spans="1:18" ht="20.100000000000001" customHeight="1" x14ac:dyDescent="0.25">
      <c r="A97" s="21" t="s">
        <v>123</v>
      </c>
      <c r="B97" s="16" t="s">
        <v>34</v>
      </c>
      <c r="C97" s="16" t="s">
        <v>39</v>
      </c>
      <c r="D97" s="16" t="s">
        <v>108</v>
      </c>
      <c r="E97" s="16" t="str">
        <f t="shared" si="4"/>
        <v>اوسكار ريتن</v>
      </c>
      <c r="F97" s="16" t="s">
        <v>215</v>
      </c>
      <c r="G97" s="15" t="str">
        <f t="shared" si="5"/>
        <v>سرير</v>
      </c>
      <c r="H97" s="16" t="s">
        <v>77</v>
      </c>
      <c r="I97" s="16" t="s">
        <v>84</v>
      </c>
      <c r="J97" s="16">
        <v>120</v>
      </c>
      <c r="K97" s="16" t="s">
        <v>32</v>
      </c>
      <c r="L97" s="16"/>
      <c r="M97" s="16"/>
      <c r="N97" s="38">
        <v>6376</v>
      </c>
      <c r="O97" s="18" t="s">
        <v>125</v>
      </c>
      <c r="P97" s="16" t="s">
        <v>254</v>
      </c>
      <c r="Q97" s="15" t="s">
        <v>15</v>
      </c>
      <c r="R97" s="60" t="s">
        <v>26</v>
      </c>
    </row>
    <row r="98" spans="1:18" ht="20.100000000000001" customHeight="1" x14ac:dyDescent="0.25">
      <c r="A98" s="21" t="s">
        <v>123</v>
      </c>
      <c r="B98" s="16" t="s">
        <v>34</v>
      </c>
      <c r="C98" s="16" t="s">
        <v>39</v>
      </c>
      <c r="D98" s="16" t="s">
        <v>108</v>
      </c>
      <c r="E98" s="16" t="str">
        <f t="shared" ref="E98:E117" si="6">TRIM(CLEAN(D98))</f>
        <v>اوسكار ريتن</v>
      </c>
      <c r="F98" s="16" t="s">
        <v>17</v>
      </c>
      <c r="G98" s="15" t="str">
        <f t="shared" ref="G98:G117" si="7">TRIM(CLEAN(F98))</f>
        <v>سرير</v>
      </c>
      <c r="H98" s="16" t="s">
        <v>216</v>
      </c>
      <c r="I98" s="16" t="s">
        <v>84</v>
      </c>
      <c r="J98" s="16">
        <v>90</v>
      </c>
      <c r="K98" s="16" t="s">
        <v>18</v>
      </c>
      <c r="L98" s="16"/>
      <c r="M98" s="16"/>
      <c r="N98" s="38">
        <v>5294</v>
      </c>
      <c r="O98" s="18" t="s">
        <v>125</v>
      </c>
      <c r="P98" s="16" t="s">
        <v>254</v>
      </c>
      <c r="Q98" s="15" t="s">
        <v>15</v>
      </c>
      <c r="R98" s="60" t="s">
        <v>26</v>
      </c>
    </row>
    <row r="99" spans="1:18" ht="20.100000000000001" customHeight="1" x14ac:dyDescent="0.25">
      <c r="A99" s="21" t="s">
        <v>217</v>
      </c>
      <c r="B99" s="15" t="s">
        <v>28</v>
      </c>
      <c r="C99" s="16" t="s">
        <v>33</v>
      </c>
      <c r="D99" s="16" t="s">
        <v>218</v>
      </c>
      <c r="E99" s="16" t="str">
        <f t="shared" si="6"/>
        <v>كيمت</v>
      </c>
      <c r="F99" s="16" t="s">
        <v>215</v>
      </c>
      <c r="G99" s="15" t="str">
        <f t="shared" si="7"/>
        <v>سرير</v>
      </c>
      <c r="H99" s="16" t="s">
        <v>216</v>
      </c>
      <c r="I99" s="16" t="s">
        <v>219</v>
      </c>
      <c r="J99" s="16">
        <v>80</v>
      </c>
      <c r="K99" s="16" t="s">
        <v>18</v>
      </c>
      <c r="L99" s="16"/>
      <c r="M99" s="16"/>
      <c r="N99" s="38">
        <v>7396</v>
      </c>
      <c r="O99" s="18" t="s">
        <v>71</v>
      </c>
      <c r="P99" s="16" t="s">
        <v>254</v>
      </c>
      <c r="Q99" s="15" t="s">
        <v>15</v>
      </c>
      <c r="R99" s="60" t="s">
        <v>26</v>
      </c>
    </row>
    <row r="100" spans="1:18" ht="20.100000000000001" customHeight="1" x14ac:dyDescent="0.25">
      <c r="A100" s="21" t="s">
        <v>176</v>
      </c>
      <c r="B100" s="15" t="s">
        <v>28</v>
      </c>
      <c r="C100" s="16" t="s">
        <v>33</v>
      </c>
      <c r="D100" s="16" t="s">
        <v>23</v>
      </c>
      <c r="E100" s="16" t="str">
        <f t="shared" si="6"/>
        <v>هومزمارت</v>
      </c>
      <c r="F100" s="16" t="s">
        <v>17</v>
      </c>
      <c r="G100" s="15" t="str">
        <f t="shared" si="7"/>
        <v>سرير</v>
      </c>
      <c r="H100" s="16" t="s">
        <v>77</v>
      </c>
      <c r="I100" s="16" t="s">
        <v>111</v>
      </c>
      <c r="J100" s="16">
        <v>90</v>
      </c>
      <c r="K100" s="16" t="s">
        <v>18</v>
      </c>
      <c r="L100" s="16"/>
      <c r="M100" s="16"/>
      <c r="N100" s="38">
        <v>13439</v>
      </c>
      <c r="O100" s="18" t="s">
        <v>75</v>
      </c>
      <c r="P100" s="16" t="s">
        <v>254</v>
      </c>
      <c r="Q100" s="15" t="s">
        <v>15</v>
      </c>
      <c r="R100" s="60" t="s">
        <v>26</v>
      </c>
    </row>
    <row r="101" spans="1:18" ht="20.100000000000001" customHeight="1" x14ac:dyDescent="0.25">
      <c r="A101" s="59" t="s">
        <v>93</v>
      </c>
      <c r="B101" s="16" t="s">
        <v>34</v>
      </c>
      <c r="C101" s="16" t="s">
        <v>27</v>
      </c>
      <c r="D101" s="2" t="s">
        <v>93</v>
      </c>
      <c r="E101" s="2" t="str">
        <f t="shared" si="6"/>
        <v>تاكى</v>
      </c>
      <c r="F101" s="2" t="s">
        <v>17</v>
      </c>
      <c r="G101" s="15" t="str">
        <f t="shared" si="7"/>
        <v>سرير</v>
      </c>
      <c r="H101" s="2" t="s">
        <v>220</v>
      </c>
      <c r="I101" s="2" t="s">
        <v>221</v>
      </c>
      <c r="J101" s="2">
        <v>160</v>
      </c>
      <c r="K101" s="16" t="s">
        <v>18</v>
      </c>
      <c r="L101" s="2"/>
      <c r="M101" s="2"/>
      <c r="N101" s="42">
        <v>5100</v>
      </c>
      <c r="O101" s="3" t="s">
        <v>125</v>
      </c>
      <c r="P101" s="2"/>
      <c r="Q101" s="7" t="s">
        <v>29</v>
      </c>
      <c r="R101" s="61" t="s">
        <v>249</v>
      </c>
    </row>
    <row r="102" spans="1:18" ht="20.100000000000001" customHeight="1" x14ac:dyDescent="0.25">
      <c r="A102" s="21" t="s">
        <v>222</v>
      </c>
      <c r="B102" s="15" t="s">
        <v>28</v>
      </c>
      <c r="C102" s="16" t="s">
        <v>27</v>
      </c>
      <c r="D102" s="16" t="s">
        <v>44</v>
      </c>
      <c r="E102" s="16" t="str">
        <f t="shared" si="6"/>
        <v>فيس بوك</v>
      </c>
      <c r="F102" s="16" t="s">
        <v>215</v>
      </c>
      <c r="G102" s="15" t="str">
        <f t="shared" si="7"/>
        <v>سرير</v>
      </c>
      <c r="H102" s="16" t="s">
        <v>91</v>
      </c>
      <c r="I102" s="16" t="s">
        <v>144</v>
      </c>
      <c r="J102" s="16">
        <v>160</v>
      </c>
      <c r="K102" s="16" t="s">
        <v>46</v>
      </c>
      <c r="L102" s="15" t="s">
        <v>25</v>
      </c>
      <c r="M102" s="16"/>
      <c r="N102" s="38">
        <v>5700</v>
      </c>
      <c r="O102" s="18" t="s">
        <v>75</v>
      </c>
      <c r="P102" s="16" t="s">
        <v>254</v>
      </c>
      <c r="Q102" s="15" t="s">
        <v>15</v>
      </c>
      <c r="R102" s="60" t="s">
        <v>26</v>
      </c>
    </row>
    <row r="103" spans="1:18" ht="20.100000000000001" customHeight="1" x14ac:dyDescent="0.25">
      <c r="A103" s="21" t="s">
        <v>223</v>
      </c>
      <c r="B103" s="15" t="s">
        <v>28</v>
      </c>
      <c r="C103" s="16" t="s">
        <v>27</v>
      </c>
      <c r="D103" s="16" t="s">
        <v>23</v>
      </c>
      <c r="E103" s="16" t="str">
        <f t="shared" si="6"/>
        <v>هومزمارت</v>
      </c>
      <c r="F103" s="16" t="s">
        <v>17</v>
      </c>
      <c r="G103" s="15" t="str">
        <f t="shared" si="7"/>
        <v>سرير</v>
      </c>
      <c r="H103" s="16" t="s">
        <v>220</v>
      </c>
      <c r="I103" s="16" t="s">
        <v>224</v>
      </c>
      <c r="J103" s="16">
        <v>120</v>
      </c>
      <c r="K103" s="16" t="s">
        <v>32</v>
      </c>
      <c r="L103" s="16"/>
      <c r="M103" s="16"/>
      <c r="N103" s="38">
        <v>10885</v>
      </c>
      <c r="O103" s="18" t="s">
        <v>75</v>
      </c>
      <c r="P103" s="16" t="s">
        <v>254</v>
      </c>
      <c r="Q103" s="15" t="s">
        <v>15</v>
      </c>
      <c r="R103" s="60" t="s">
        <v>19</v>
      </c>
    </row>
    <row r="104" spans="1:18" ht="20.100000000000001" customHeight="1" x14ac:dyDescent="0.25">
      <c r="A104" s="21" t="s">
        <v>93</v>
      </c>
      <c r="B104" s="16" t="s">
        <v>34</v>
      </c>
      <c r="C104" s="16" t="s">
        <v>27</v>
      </c>
      <c r="D104" s="16" t="s">
        <v>40</v>
      </c>
      <c r="E104" s="16" t="str">
        <f t="shared" si="6"/>
        <v>تاكى</v>
      </c>
      <c r="F104" s="16" t="s">
        <v>24</v>
      </c>
      <c r="G104" s="15" t="str">
        <f t="shared" si="7"/>
        <v>كنبه</v>
      </c>
      <c r="H104" s="16" t="s">
        <v>225</v>
      </c>
      <c r="I104" s="16" t="s">
        <v>225</v>
      </c>
      <c r="J104" s="16"/>
      <c r="K104" s="16" t="s">
        <v>18</v>
      </c>
      <c r="L104" s="16"/>
      <c r="M104" s="16"/>
      <c r="N104" s="38">
        <v>6000</v>
      </c>
      <c r="O104" s="18" t="s">
        <v>75</v>
      </c>
      <c r="P104" s="16" t="s">
        <v>254</v>
      </c>
      <c r="Q104" s="15" t="s">
        <v>15</v>
      </c>
      <c r="R104" s="60" t="s">
        <v>26</v>
      </c>
    </row>
    <row r="105" spans="1:18" ht="20.100000000000001" customHeight="1" x14ac:dyDescent="0.25">
      <c r="A105" s="21" t="s">
        <v>226</v>
      </c>
      <c r="B105" s="15" t="s">
        <v>28</v>
      </c>
      <c r="C105" s="16" t="s">
        <v>47</v>
      </c>
      <c r="D105" s="16" t="s">
        <v>23</v>
      </c>
      <c r="E105" s="16" t="str">
        <f t="shared" si="6"/>
        <v>هومزمارت</v>
      </c>
      <c r="F105" s="16" t="s">
        <v>31</v>
      </c>
      <c r="G105" s="15" t="str">
        <f t="shared" si="7"/>
        <v>تربيزه</v>
      </c>
      <c r="H105" s="16" t="s">
        <v>81</v>
      </c>
      <c r="I105" s="16"/>
      <c r="J105" s="16"/>
      <c r="K105" s="16" t="s">
        <v>18</v>
      </c>
      <c r="L105" s="16"/>
      <c r="M105" s="16"/>
      <c r="N105" s="38">
        <v>8449</v>
      </c>
      <c r="O105" s="18" t="s">
        <v>71</v>
      </c>
      <c r="P105" s="15" t="s">
        <v>72</v>
      </c>
      <c r="Q105" s="15" t="s">
        <v>15</v>
      </c>
      <c r="R105" s="60" t="s">
        <v>19</v>
      </c>
    </row>
    <row r="106" spans="1:18" ht="20.100000000000001" customHeight="1" x14ac:dyDescent="0.25">
      <c r="A106" s="21" t="s">
        <v>227</v>
      </c>
      <c r="B106" s="15" t="s">
        <v>28</v>
      </c>
      <c r="C106" s="16" t="s">
        <v>27</v>
      </c>
      <c r="D106" s="16" t="s">
        <v>23</v>
      </c>
      <c r="E106" s="16" t="str">
        <f t="shared" si="6"/>
        <v>هومزمارت</v>
      </c>
      <c r="F106" s="16" t="s">
        <v>31</v>
      </c>
      <c r="G106" s="15" t="str">
        <f t="shared" si="7"/>
        <v>تربيزه</v>
      </c>
      <c r="H106" s="16" t="s">
        <v>77</v>
      </c>
      <c r="I106" s="16"/>
      <c r="J106" s="16"/>
      <c r="K106" s="16" t="s">
        <v>18</v>
      </c>
      <c r="L106" s="16" t="s">
        <v>228</v>
      </c>
      <c r="M106" s="16"/>
      <c r="N106" s="38">
        <v>10249</v>
      </c>
      <c r="O106" s="18" t="s">
        <v>75</v>
      </c>
      <c r="P106" s="16" t="s">
        <v>254</v>
      </c>
      <c r="Q106" s="15" t="s">
        <v>15</v>
      </c>
      <c r="R106" s="60" t="s">
        <v>19</v>
      </c>
    </row>
    <row r="107" spans="1:18" ht="20.100000000000001" customHeight="1" x14ac:dyDescent="0.25">
      <c r="A107" s="12" t="s">
        <v>229</v>
      </c>
      <c r="B107" s="15" t="s">
        <v>28</v>
      </c>
      <c r="C107" s="6" t="s">
        <v>47</v>
      </c>
      <c r="D107" s="6" t="s">
        <v>23</v>
      </c>
      <c r="E107" s="6" t="str">
        <f t="shared" si="6"/>
        <v>هومزمارت</v>
      </c>
      <c r="F107" s="6" t="s">
        <v>17</v>
      </c>
      <c r="G107" s="15" t="str">
        <f t="shared" si="7"/>
        <v>سرير</v>
      </c>
      <c r="H107" s="6" t="s">
        <v>77</v>
      </c>
      <c r="I107" s="6" t="s">
        <v>78</v>
      </c>
      <c r="J107" s="6">
        <v>100</v>
      </c>
      <c r="K107" s="16" t="s">
        <v>18</v>
      </c>
      <c r="L107" s="6"/>
      <c r="M107" s="6"/>
      <c r="N107" s="40">
        <v>14905</v>
      </c>
      <c r="O107" s="8" t="s">
        <v>71</v>
      </c>
      <c r="P107" s="6"/>
      <c r="Q107" s="6" t="s">
        <v>22</v>
      </c>
      <c r="R107" s="61" t="s">
        <v>249</v>
      </c>
    </row>
    <row r="108" spans="1:18" ht="20.100000000000001" customHeight="1" x14ac:dyDescent="0.25">
      <c r="A108" s="12" t="s">
        <v>230</v>
      </c>
      <c r="B108" s="15" t="s">
        <v>28</v>
      </c>
      <c r="C108" s="6" t="s">
        <v>27</v>
      </c>
      <c r="D108" s="6" t="s">
        <v>23</v>
      </c>
      <c r="E108" s="6" t="str">
        <f t="shared" si="6"/>
        <v>هومزمارت</v>
      </c>
      <c r="F108" s="6" t="s">
        <v>31</v>
      </c>
      <c r="G108" s="15" t="str">
        <f t="shared" si="7"/>
        <v>تربيزه</v>
      </c>
      <c r="H108" s="6" t="s">
        <v>77</v>
      </c>
      <c r="I108" s="6"/>
      <c r="J108" s="6"/>
      <c r="K108" s="16" t="s">
        <v>18</v>
      </c>
      <c r="L108" s="6" t="s">
        <v>231</v>
      </c>
      <c r="M108" s="6"/>
      <c r="N108" s="47">
        <v>10249</v>
      </c>
      <c r="O108" s="8" t="s">
        <v>71</v>
      </c>
      <c r="P108" s="6"/>
      <c r="Q108" s="6" t="s">
        <v>22</v>
      </c>
      <c r="R108" s="61" t="s">
        <v>249</v>
      </c>
    </row>
    <row r="109" spans="1:18" ht="20.100000000000001" customHeight="1" x14ac:dyDescent="0.25">
      <c r="A109" s="12" t="s">
        <v>232</v>
      </c>
      <c r="B109" s="15" t="s">
        <v>28</v>
      </c>
      <c r="C109" s="6" t="s">
        <v>27</v>
      </c>
      <c r="D109" s="6" t="s">
        <v>233</v>
      </c>
      <c r="E109" s="6" t="str">
        <f t="shared" si="6"/>
        <v>هومزمارت</v>
      </c>
      <c r="F109" s="6" t="s">
        <v>31</v>
      </c>
      <c r="G109" s="15" t="str">
        <f t="shared" si="7"/>
        <v>تربيزه</v>
      </c>
      <c r="H109" s="6" t="s">
        <v>132</v>
      </c>
      <c r="I109" s="6"/>
      <c r="J109" s="6"/>
      <c r="K109" s="16" t="s">
        <v>18</v>
      </c>
      <c r="L109" s="6" t="s">
        <v>234</v>
      </c>
      <c r="M109" s="6"/>
      <c r="N109" s="47">
        <v>9029</v>
      </c>
      <c r="O109" s="8" t="s">
        <v>71</v>
      </c>
      <c r="P109" s="6"/>
      <c r="Q109" s="6" t="s">
        <v>22</v>
      </c>
      <c r="R109" s="61" t="s">
        <v>249</v>
      </c>
    </row>
    <row r="110" spans="1:18" ht="20.100000000000001" customHeight="1" x14ac:dyDescent="0.25">
      <c r="A110" s="12" t="s">
        <v>235</v>
      </c>
      <c r="B110" s="15" t="s">
        <v>28</v>
      </c>
      <c r="C110" s="6" t="s">
        <v>43</v>
      </c>
      <c r="D110" s="6" t="s">
        <v>233</v>
      </c>
      <c r="E110" s="6" t="str">
        <f t="shared" si="6"/>
        <v>هومزمارت</v>
      </c>
      <c r="F110" s="6" t="s">
        <v>31</v>
      </c>
      <c r="G110" s="15" t="str">
        <f t="shared" si="7"/>
        <v>تربيزه</v>
      </c>
      <c r="H110" s="6" t="s">
        <v>105</v>
      </c>
      <c r="I110" s="6"/>
      <c r="J110" s="6"/>
      <c r="K110" s="6" t="s">
        <v>18</v>
      </c>
      <c r="L110" s="6" t="s">
        <v>236</v>
      </c>
      <c r="M110" s="6"/>
      <c r="N110" s="6">
        <v>9029</v>
      </c>
      <c r="O110" s="6" t="s">
        <v>71</v>
      </c>
      <c r="P110" s="6"/>
      <c r="Q110" s="6" t="s">
        <v>22</v>
      </c>
      <c r="R110" s="61" t="s">
        <v>249</v>
      </c>
    </row>
    <row r="111" spans="1:18" ht="20.100000000000001" customHeight="1" x14ac:dyDescent="0.25">
      <c r="A111" s="12" t="s">
        <v>237</v>
      </c>
      <c r="B111" s="15" t="s">
        <v>28</v>
      </c>
      <c r="C111" s="6" t="s">
        <v>27</v>
      </c>
      <c r="D111" s="6" t="s">
        <v>23</v>
      </c>
      <c r="E111" s="6" t="str">
        <f t="shared" si="6"/>
        <v>هومزمارت</v>
      </c>
      <c r="F111" s="6" t="s">
        <v>17</v>
      </c>
      <c r="G111" s="15" t="str">
        <f t="shared" si="7"/>
        <v>سرير</v>
      </c>
      <c r="H111" s="6" t="s">
        <v>216</v>
      </c>
      <c r="I111" s="6" t="s">
        <v>84</v>
      </c>
      <c r="J111" s="6">
        <v>80</v>
      </c>
      <c r="K111" s="6" t="s">
        <v>18</v>
      </c>
      <c r="L111" s="6"/>
      <c r="M111" s="6"/>
      <c r="N111" s="40">
        <v>12099</v>
      </c>
      <c r="O111" s="8" t="s">
        <v>71</v>
      </c>
      <c r="P111" s="6"/>
      <c r="Q111" s="6" t="s">
        <v>22</v>
      </c>
      <c r="R111" s="61" t="s">
        <v>249</v>
      </c>
    </row>
    <row r="112" spans="1:18" ht="20.100000000000001" customHeight="1" x14ac:dyDescent="0.25">
      <c r="A112" s="21" t="s">
        <v>123</v>
      </c>
      <c r="B112" s="16" t="s">
        <v>34</v>
      </c>
      <c r="C112" s="16" t="s">
        <v>39</v>
      </c>
      <c r="D112" s="16" t="s">
        <v>108</v>
      </c>
      <c r="E112" s="16" t="str">
        <f t="shared" si="6"/>
        <v>اوسكار ريتن</v>
      </c>
      <c r="F112" s="16" t="s">
        <v>17</v>
      </c>
      <c r="G112" s="15" t="str">
        <f t="shared" si="7"/>
        <v>سرير</v>
      </c>
      <c r="H112" s="16" t="s">
        <v>216</v>
      </c>
      <c r="I112" s="16" t="s">
        <v>219</v>
      </c>
      <c r="J112" s="16">
        <v>90</v>
      </c>
      <c r="K112" s="16" t="s">
        <v>38</v>
      </c>
      <c r="L112" s="16"/>
      <c r="M112" s="16"/>
      <c r="N112" s="38">
        <v>5217</v>
      </c>
      <c r="O112" s="18" t="s">
        <v>125</v>
      </c>
      <c r="P112" s="16" t="s">
        <v>254</v>
      </c>
      <c r="Q112" s="15" t="s">
        <v>15</v>
      </c>
      <c r="R112" s="60" t="s">
        <v>26</v>
      </c>
    </row>
    <row r="113" spans="1:18" ht="20.100000000000001" customHeight="1" x14ac:dyDescent="0.25">
      <c r="A113" s="21" t="s">
        <v>238</v>
      </c>
      <c r="B113" s="15" t="s">
        <v>28</v>
      </c>
      <c r="C113" s="16" t="s">
        <v>27</v>
      </c>
      <c r="D113" s="16" t="s">
        <v>23</v>
      </c>
      <c r="E113" s="16" t="str">
        <f t="shared" si="6"/>
        <v>هومزمارت</v>
      </c>
      <c r="F113" s="16" t="s">
        <v>215</v>
      </c>
      <c r="G113" s="15" t="str">
        <f t="shared" si="7"/>
        <v>سرير</v>
      </c>
      <c r="H113" s="16" t="s">
        <v>69</v>
      </c>
      <c r="I113" s="16"/>
      <c r="J113" s="16"/>
      <c r="K113" s="16" t="s">
        <v>18</v>
      </c>
      <c r="L113" s="16" t="s">
        <v>18</v>
      </c>
      <c r="M113" s="16"/>
      <c r="N113" s="38">
        <v>10249</v>
      </c>
      <c r="O113" s="18" t="s">
        <v>75</v>
      </c>
      <c r="P113" s="16" t="s">
        <v>254</v>
      </c>
      <c r="Q113" s="15" t="s">
        <v>15</v>
      </c>
      <c r="R113" s="60" t="s">
        <v>19</v>
      </c>
    </row>
    <row r="114" spans="1:18" ht="20.100000000000001" customHeight="1" x14ac:dyDescent="0.25">
      <c r="A114" s="21" t="s">
        <v>239</v>
      </c>
      <c r="B114" s="15" t="s">
        <v>28</v>
      </c>
      <c r="C114" s="16" t="s">
        <v>27</v>
      </c>
      <c r="D114" s="16" t="s">
        <v>30</v>
      </c>
      <c r="E114" s="16" t="str">
        <f t="shared" si="6"/>
        <v>شيك هومز</v>
      </c>
      <c r="F114" s="16" t="s">
        <v>17</v>
      </c>
      <c r="G114" s="15" t="str">
        <f t="shared" si="7"/>
        <v>سرير</v>
      </c>
      <c r="H114" s="16" t="s">
        <v>77</v>
      </c>
      <c r="I114" s="16" t="s">
        <v>111</v>
      </c>
      <c r="J114" s="16">
        <v>90</v>
      </c>
      <c r="K114" s="16" t="s">
        <v>18</v>
      </c>
      <c r="L114" s="16"/>
      <c r="M114" s="16"/>
      <c r="N114" s="38">
        <v>10445</v>
      </c>
      <c r="O114" s="18" t="s">
        <v>75</v>
      </c>
      <c r="P114" s="16" t="s">
        <v>254</v>
      </c>
      <c r="Q114" s="15" t="s">
        <v>15</v>
      </c>
      <c r="R114" s="60" t="s">
        <v>26</v>
      </c>
    </row>
    <row r="115" spans="1:18" ht="20.100000000000001" customHeight="1" x14ac:dyDescent="0.25">
      <c r="A115" s="21" t="s">
        <v>240</v>
      </c>
      <c r="B115" s="15" t="s">
        <v>28</v>
      </c>
      <c r="C115" s="16" t="s">
        <v>27</v>
      </c>
      <c r="D115" s="16" t="s">
        <v>23</v>
      </c>
      <c r="E115" s="16" t="str">
        <f t="shared" si="6"/>
        <v>هومزمارت</v>
      </c>
      <c r="F115" s="16" t="s">
        <v>31</v>
      </c>
      <c r="G115" s="15" t="str">
        <f t="shared" si="7"/>
        <v>تربيزه</v>
      </c>
      <c r="H115" s="16" t="s">
        <v>77</v>
      </c>
      <c r="I115" s="16"/>
      <c r="J115" s="16"/>
      <c r="K115" s="16" t="s">
        <v>18</v>
      </c>
      <c r="L115" s="16" t="s">
        <v>231</v>
      </c>
      <c r="M115" s="16"/>
      <c r="N115" s="16">
        <v>11199</v>
      </c>
      <c r="O115" s="18" t="s">
        <v>75</v>
      </c>
      <c r="P115" s="16" t="s">
        <v>254</v>
      </c>
      <c r="Q115" s="15" t="s">
        <v>15</v>
      </c>
      <c r="R115" s="60" t="s">
        <v>26</v>
      </c>
    </row>
    <row r="116" spans="1:18" ht="20.100000000000001" customHeight="1" x14ac:dyDescent="0.25">
      <c r="A116" s="21" t="s">
        <v>241</v>
      </c>
      <c r="B116" s="15" t="s">
        <v>28</v>
      </c>
      <c r="C116" s="16" t="s">
        <v>33</v>
      </c>
      <c r="D116" s="16" t="s">
        <v>23</v>
      </c>
      <c r="E116" s="16" t="str">
        <f t="shared" si="6"/>
        <v>هومزمارت</v>
      </c>
      <c r="F116" s="16" t="s">
        <v>215</v>
      </c>
      <c r="G116" s="15" t="str">
        <f t="shared" si="7"/>
        <v>سرير</v>
      </c>
      <c r="H116" s="16" t="s">
        <v>77</v>
      </c>
      <c r="I116" s="16" t="s">
        <v>84</v>
      </c>
      <c r="J116" s="16">
        <v>80</v>
      </c>
      <c r="K116" s="16" t="s">
        <v>18</v>
      </c>
      <c r="L116" s="16"/>
      <c r="M116" s="16"/>
      <c r="N116" s="38">
        <v>13099</v>
      </c>
      <c r="O116" s="18" t="s">
        <v>75</v>
      </c>
      <c r="P116" s="16" t="s">
        <v>254</v>
      </c>
      <c r="Q116" s="15" t="s">
        <v>15</v>
      </c>
      <c r="R116" s="60" t="s">
        <v>19</v>
      </c>
    </row>
    <row r="117" spans="1:18" ht="20.100000000000001" customHeight="1" x14ac:dyDescent="0.25">
      <c r="A117" s="62" t="s">
        <v>30</v>
      </c>
      <c r="B117" s="63" t="s">
        <v>34</v>
      </c>
      <c r="C117" s="63" t="s">
        <v>33</v>
      </c>
      <c r="D117" s="63" t="s">
        <v>30</v>
      </c>
      <c r="E117" s="63" t="str">
        <f t="shared" si="6"/>
        <v>شيك هومز</v>
      </c>
      <c r="F117" s="63" t="s">
        <v>24</v>
      </c>
      <c r="G117" s="15" t="str">
        <f t="shared" si="7"/>
        <v>كنبه</v>
      </c>
      <c r="H117" s="63" t="s">
        <v>87</v>
      </c>
      <c r="I117" s="63" t="s">
        <v>210</v>
      </c>
      <c r="J117" s="63"/>
      <c r="K117" s="63" t="s">
        <v>18</v>
      </c>
      <c r="L117" s="63" t="s">
        <v>242</v>
      </c>
      <c r="M117" s="63"/>
      <c r="N117" s="64">
        <v>8700</v>
      </c>
      <c r="O117" s="65" t="s">
        <v>125</v>
      </c>
      <c r="P117" s="16" t="s">
        <v>254</v>
      </c>
      <c r="Q117" s="66" t="s">
        <v>15</v>
      </c>
      <c r="R117" s="67" t="s">
        <v>26</v>
      </c>
    </row>
    <row r="118" spans="1:18" ht="20.100000000000001" customHeight="1" x14ac:dyDescent="0.25">
      <c r="Q118" s="1"/>
    </row>
    <row r="119" spans="1:18" ht="20.100000000000001" customHeight="1" x14ac:dyDescent="0.25">
      <c r="Q119" s="1"/>
    </row>
    <row r="120" spans="1:18" ht="20.100000000000001" customHeight="1" x14ac:dyDescent="0.25">
      <c r="Q120" s="1"/>
    </row>
    <row r="121" spans="1:18" ht="20.100000000000001" customHeight="1" x14ac:dyDescent="0.25">
      <c r="Q121" s="1"/>
    </row>
    <row r="122" spans="1:18" ht="20.100000000000001" customHeight="1" x14ac:dyDescent="0.25">
      <c r="Q122" s="1"/>
    </row>
    <row r="123" spans="1:18" ht="20.100000000000001" customHeight="1" x14ac:dyDescent="0.25">
      <c r="Q123" s="1"/>
    </row>
    <row r="124" spans="1:18" ht="20.100000000000001" customHeight="1" x14ac:dyDescent="0.25">
      <c r="Q124" s="1"/>
    </row>
    <row r="125" spans="1:18" ht="20.100000000000001" customHeight="1" x14ac:dyDescent="0.25">
      <c r="Q125" s="1"/>
    </row>
    <row r="126" spans="1:18" ht="20.100000000000001" customHeight="1" x14ac:dyDescent="0.25">
      <c r="Q126" s="1"/>
    </row>
    <row r="127" spans="1:18" ht="20.100000000000001" customHeight="1" x14ac:dyDescent="0.25">
      <c r="Q127" s="1"/>
    </row>
    <row r="128" spans="1:18" ht="20.100000000000001" customHeight="1" x14ac:dyDescent="0.25">
      <c r="Q128" s="1"/>
    </row>
    <row r="129" spans="17:17" ht="20.100000000000001" customHeight="1" x14ac:dyDescent="0.25">
      <c r="Q129" s="1"/>
    </row>
    <row r="130" spans="17:17" ht="20.100000000000001" customHeight="1" x14ac:dyDescent="0.25">
      <c r="Q130" s="1"/>
    </row>
    <row r="131" spans="17:17" ht="20.100000000000001" customHeight="1" x14ac:dyDescent="0.25">
      <c r="Q131" s="1"/>
    </row>
    <row r="132" spans="17:17" ht="20.100000000000001" customHeight="1" x14ac:dyDescent="0.25">
      <c r="Q132" s="1"/>
    </row>
    <row r="133" spans="17:17" ht="20.100000000000001" customHeight="1" x14ac:dyDescent="0.25">
      <c r="Q133" s="1"/>
    </row>
    <row r="134" spans="17:17" ht="20.100000000000001" customHeight="1" x14ac:dyDescent="0.25">
      <c r="Q134" s="1"/>
    </row>
    <row r="135" spans="17:17" ht="20.100000000000001" customHeight="1" x14ac:dyDescent="0.25">
      <c r="Q135" s="1"/>
    </row>
    <row r="136" spans="17:17" ht="20.100000000000001" customHeight="1" x14ac:dyDescent="0.25">
      <c r="Q136" s="1"/>
    </row>
    <row r="137" spans="17:17" ht="20.100000000000001" customHeight="1" x14ac:dyDescent="0.25">
      <c r="Q137" s="1"/>
    </row>
    <row r="138" spans="17:17" ht="20.100000000000001" customHeight="1" x14ac:dyDescent="0.25">
      <c r="Q138" s="1"/>
    </row>
    <row r="139" spans="17:17" ht="20.100000000000001" customHeight="1" x14ac:dyDescent="0.25">
      <c r="Q139" s="1"/>
    </row>
    <row r="140" spans="17:17" ht="20.100000000000001" customHeight="1" x14ac:dyDescent="0.25">
      <c r="Q140" s="1"/>
    </row>
    <row r="141" spans="17:17" ht="20.100000000000001" customHeight="1" x14ac:dyDescent="0.25">
      <c r="Q141" s="1"/>
    </row>
    <row r="142" spans="17:17" ht="20.100000000000001" customHeight="1" x14ac:dyDescent="0.25">
      <c r="Q142" s="1"/>
    </row>
    <row r="143" spans="17:17" ht="20.100000000000001" customHeight="1" x14ac:dyDescent="0.25">
      <c r="Q143" s="1"/>
    </row>
    <row r="144" spans="17:17" ht="20.100000000000001" customHeight="1" x14ac:dyDescent="0.25">
      <c r="Q144" s="1"/>
    </row>
    <row r="145" spans="17:17" ht="20.100000000000001" customHeight="1" x14ac:dyDescent="0.25">
      <c r="Q145" s="1"/>
    </row>
    <row r="146" spans="17:17" ht="20.100000000000001" customHeight="1" x14ac:dyDescent="0.25">
      <c r="Q146" s="1"/>
    </row>
    <row r="147" spans="17:17" ht="20.100000000000001" customHeight="1" x14ac:dyDescent="0.25">
      <c r="Q147" s="1"/>
    </row>
    <row r="148" spans="17:17" ht="20.100000000000001" customHeight="1" x14ac:dyDescent="0.25">
      <c r="Q148" s="1"/>
    </row>
    <row r="149" spans="17:17" ht="20.100000000000001" customHeight="1" x14ac:dyDescent="0.25">
      <c r="Q149" s="1"/>
    </row>
    <row r="150" spans="17:17" ht="20.100000000000001" customHeight="1" x14ac:dyDescent="0.25">
      <c r="Q150" s="1"/>
    </row>
    <row r="151" spans="17:17" ht="20.100000000000001" customHeight="1" x14ac:dyDescent="0.25">
      <c r="Q151" s="1"/>
    </row>
    <row r="152" spans="17:17" ht="20.100000000000001" customHeight="1" x14ac:dyDescent="0.25">
      <c r="Q152" s="1"/>
    </row>
    <row r="153" spans="17:17" ht="20.100000000000001" customHeight="1" x14ac:dyDescent="0.25">
      <c r="Q153" s="1"/>
    </row>
    <row r="154" spans="17:17" ht="20.100000000000001" customHeight="1" x14ac:dyDescent="0.25">
      <c r="Q154" s="1"/>
    </row>
    <row r="155" spans="17:17" ht="20.100000000000001" customHeight="1" x14ac:dyDescent="0.25">
      <c r="Q155" s="1"/>
    </row>
    <row r="156" spans="17:17" ht="20.100000000000001" customHeight="1" x14ac:dyDescent="0.25">
      <c r="Q156" s="1"/>
    </row>
    <row r="157" spans="17:17" ht="20.100000000000001" customHeight="1" x14ac:dyDescent="0.25">
      <c r="Q157" s="1"/>
    </row>
    <row r="158" spans="17:17" ht="20.100000000000001" customHeight="1" x14ac:dyDescent="0.25">
      <c r="Q158" s="1"/>
    </row>
    <row r="159" spans="17:17" ht="20.100000000000001" customHeight="1" x14ac:dyDescent="0.25">
      <c r="Q159" s="1"/>
    </row>
    <row r="160" spans="17:17" ht="20.100000000000001" customHeight="1" x14ac:dyDescent="0.25">
      <c r="Q160" s="1"/>
    </row>
    <row r="161" spans="17:17" ht="20.100000000000001" customHeight="1" x14ac:dyDescent="0.25">
      <c r="Q161" s="1"/>
    </row>
    <row r="162" spans="17:17" ht="20.100000000000001" customHeight="1" x14ac:dyDescent="0.25">
      <c r="Q162" s="1"/>
    </row>
    <row r="163" spans="17:17" ht="20.100000000000001" customHeight="1" x14ac:dyDescent="0.25">
      <c r="Q163" s="1"/>
    </row>
    <row r="164" spans="17:17" ht="20.100000000000001" customHeight="1" x14ac:dyDescent="0.25">
      <c r="Q164" s="1"/>
    </row>
    <row r="165" spans="17:17" ht="20.100000000000001" customHeight="1" x14ac:dyDescent="0.25">
      <c r="Q165" s="1"/>
    </row>
    <row r="166" spans="17:17" ht="20.100000000000001" customHeight="1" x14ac:dyDescent="0.25">
      <c r="Q166" s="1"/>
    </row>
    <row r="167" spans="17:17" ht="20.100000000000001" customHeight="1" x14ac:dyDescent="0.25">
      <c r="Q167" s="1"/>
    </row>
    <row r="168" spans="17:17" ht="20.100000000000001" customHeight="1" x14ac:dyDescent="0.25">
      <c r="Q168" s="1"/>
    </row>
    <row r="169" spans="17:17" ht="20.100000000000001" customHeight="1" x14ac:dyDescent="0.25">
      <c r="Q169" s="1"/>
    </row>
    <row r="170" spans="17:17" ht="20.100000000000001" customHeight="1" x14ac:dyDescent="0.25">
      <c r="Q170" s="1"/>
    </row>
    <row r="171" spans="17:17" ht="20.100000000000001" customHeight="1" x14ac:dyDescent="0.25">
      <c r="Q171" s="1"/>
    </row>
    <row r="172" spans="17:17" ht="20.100000000000001" customHeight="1" x14ac:dyDescent="0.25">
      <c r="Q172" s="1"/>
    </row>
    <row r="173" spans="17:17" ht="20.100000000000001" customHeight="1" x14ac:dyDescent="0.25">
      <c r="Q173" s="1"/>
    </row>
    <row r="174" spans="17:17" ht="20.100000000000001" customHeight="1" x14ac:dyDescent="0.25">
      <c r="Q174" s="1"/>
    </row>
    <row r="175" spans="17:17" ht="20.100000000000001" customHeight="1" x14ac:dyDescent="0.25">
      <c r="Q175" s="1"/>
    </row>
    <row r="176" spans="17:17" ht="20.100000000000001" customHeight="1" x14ac:dyDescent="0.25">
      <c r="Q176" s="1"/>
    </row>
    <row r="177" spans="17:17" ht="20.100000000000001" customHeight="1" x14ac:dyDescent="0.25">
      <c r="Q177" s="1"/>
    </row>
    <row r="178" spans="17:17" ht="20.100000000000001" customHeight="1" x14ac:dyDescent="0.25">
      <c r="Q178" s="1"/>
    </row>
    <row r="179" spans="17:17" ht="20.100000000000001" customHeight="1" x14ac:dyDescent="0.25">
      <c r="Q179" s="1"/>
    </row>
    <row r="180" spans="17:17" ht="20.100000000000001" customHeight="1" x14ac:dyDescent="0.25">
      <c r="Q180" s="1"/>
    </row>
    <row r="181" spans="17:17" ht="20.100000000000001" customHeight="1" x14ac:dyDescent="0.25">
      <c r="Q181" s="1"/>
    </row>
    <row r="182" spans="17:17" ht="20.100000000000001" customHeight="1" x14ac:dyDescent="0.25">
      <c r="Q182" s="1"/>
    </row>
    <row r="183" spans="17:17" ht="20.100000000000001" customHeight="1" x14ac:dyDescent="0.25">
      <c r="Q183" s="1"/>
    </row>
    <row r="184" spans="17:17" ht="20.100000000000001" customHeight="1" x14ac:dyDescent="0.25">
      <c r="Q184" s="1"/>
    </row>
    <row r="185" spans="17:17" ht="20.100000000000001" customHeight="1" x14ac:dyDescent="0.25">
      <c r="Q185" s="1"/>
    </row>
    <row r="186" spans="17:17" ht="20.100000000000001" customHeight="1" x14ac:dyDescent="0.25">
      <c r="Q186" s="1"/>
    </row>
    <row r="187" spans="17:17" ht="20.100000000000001" customHeight="1" x14ac:dyDescent="0.25">
      <c r="Q187" s="1"/>
    </row>
    <row r="188" spans="17:17" ht="20.100000000000001" customHeight="1" x14ac:dyDescent="0.25">
      <c r="Q188" s="1"/>
    </row>
    <row r="189" spans="17:17" ht="20.100000000000001" customHeight="1" x14ac:dyDescent="0.25">
      <c r="Q189" s="1"/>
    </row>
    <row r="190" spans="17:17" ht="20.100000000000001" customHeight="1" x14ac:dyDescent="0.25">
      <c r="Q190" s="1"/>
    </row>
    <row r="191" spans="17:17" ht="20.100000000000001" customHeight="1" x14ac:dyDescent="0.25">
      <c r="Q191" s="1"/>
    </row>
    <row r="192" spans="17:17" ht="20.100000000000001" customHeight="1" x14ac:dyDescent="0.25">
      <c r="Q192" s="1"/>
    </row>
    <row r="193" spans="17:17" ht="20.100000000000001" customHeight="1" x14ac:dyDescent="0.25">
      <c r="Q193" s="1"/>
    </row>
    <row r="194" spans="17:17" ht="20.100000000000001" customHeight="1" x14ac:dyDescent="0.25">
      <c r="Q194" s="1"/>
    </row>
    <row r="195" spans="17:17" ht="20.100000000000001" customHeight="1" x14ac:dyDescent="0.25">
      <c r="Q195" s="1"/>
    </row>
    <row r="196" spans="17:17" ht="20.100000000000001" customHeight="1" x14ac:dyDescent="0.25">
      <c r="Q196" s="1"/>
    </row>
    <row r="197" spans="17:17" ht="20.100000000000001" customHeight="1" x14ac:dyDescent="0.25">
      <c r="Q197" s="1"/>
    </row>
    <row r="198" spans="17:17" ht="20.100000000000001" customHeight="1" x14ac:dyDescent="0.25">
      <c r="Q198" s="1"/>
    </row>
    <row r="199" spans="17:17" ht="20.100000000000001" customHeight="1" x14ac:dyDescent="0.25">
      <c r="Q199" s="1"/>
    </row>
    <row r="200" spans="17:17" ht="20.100000000000001" customHeight="1" x14ac:dyDescent="0.25">
      <c r="Q200" s="1"/>
    </row>
    <row r="201" spans="17:17" ht="20.100000000000001" customHeight="1" x14ac:dyDescent="0.25">
      <c r="Q201" s="1"/>
    </row>
    <row r="202" spans="17:17" ht="20.100000000000001" customHeight="1" x14ac:dyDescent="0.25">
      <c r="Q202" s="1"/>
    </row>
    <row r="203" spans="17:17" ht="20.100000000000001" customHeight="1" x14ac:dyDescent="0.25">
      <c r="Q203" s="1"/>
    </row>
    <row r="204" spans="17:17" ht="20.100000000000001" customHeight="1" x14ac:dyDescent="0.25">
      <c r="Q204" s="1"/>
    </row>
    <row r="205" spans="17:17" ht="20.100000000000001" customHeight="1" x14ac:dyDescent="0.25">
      <c r="Q205" s="1"/>
    </row>
    <row r="206" spans="17:17" ht="20.100000000000001" customHeight="1" x14ac:dyDescent="0.25">
      <c r="Q206" s="1"/>
    </row>
    <row r="207" spans="17:17" ht="20.100000000000001" customHeight="1" x14ac:dyDescent="0.25">
      <c r="Q207" s="1"/>
    </row>
    <row r="208" spans="17:17" ht="20.100000000000001" customHeight="1" x14ac:dyDescent="0.25">
      <c r="Q208" s="1"/>
    </row>
    <row r="209" spans="17:17" ht="20.100000000000001" customHeight="1" x14ac:dyDescent="0.25">
      <c r="Q209" s="1"/>
    </row>
    <row r="210" spans="17:17" ht="20.100000000000001" customHeight="1" x14ac:dyDescent="0.25">
      <c r="Q210" s="1"/>
    </row>
    <row r="211" spans="17:17" ht="20.100000000000001" customHeight="1" x14ac:dyDescent="0.25">
      <c r="Q211" s="1"/>
    </row>
    <row r="212" spans="17:17" ht="20.100000000000001" customHeight="1" x14ac:dyDescent="0.25">
      <c r="Q212" s="1"/>
    </row>
    <row r="213" spans="17:17" ht="20.100000000000001" customHeight="1" x14ac:dyDescent="0.25">
      <c r="Q213" s="1"/>
    </row>
    <row r="214" spans="17:17" ht="20.100000000000001" customHeight="1" x14ac:dyDescent="0.25">
      <c r="Q214" s="1"/>
    </row>
    <row r="215" spans="17:17" ht="20.100000000000001" customHeight="1" x14ac:dyDescent="0.25">
      <c r="Q215" s="1"/>
    </row>
    <row r="216" spans="17:17" ht="20.100000000000001" customHeight="1" x14ac:dyDescent="0.25">
      <c r="Q216" s="1"/>
    </row>
    <row r="217" spans="17:17" ht="20.100000000000001" customHeight="1" x14ac:dyDescent="0.25">
      <c r="Q217" s="1"/>
    </row>
    <row r="218" spans="17:17" ht="20.100000000000001" customHeight="1" x14ac:dyDescent="0.25">
      <c r="Q218" s="1"/>
    </row>
    <row r="219" spans="17:17" ht="20.100000000000001" customHeight="1" x14ac:dyDescent="0.25">
      <c r="Q219" s="1"/>
    </row>
    <row r="220" spans="17:17" ht="20.100000000000001" customHeight="1" x14ac:dyDescent="0.25">
      <c r="Q220" s="1"/>
    </row>
    <row r="221" spans="17:17" ht="20.100000000000001" customHeight="1" x14ac:dyDescent="0.25">
      <c r="Q221" s="1"/>
    </row>
    <row r="222" spans="17:17" ht="20.100000000000001" customHeight="1" x14ac:dyDescent="0.25">
      <c r="Q222" s="1"/>
    </row>
    <row r="223" spans="17:17" ht="20.100000000000001" customHeight="1" x14ac:dyDescent="0.25">
      <c r="Q223" s="1"/>
    </row>
    <row r="224" spans="17:17" ht="20.100000000000001" customHeight="1" x14ac:dyDescent="0.25">
      <c r="Q224" s="1"/>
    </row>
    <row r="225" spans="17:17" ht="20.100000000000001" customHeight="1" x14ac:dyDescent="0.25">
      <c r="Q225" s="1"/>
    </row>
    <row r="226" spans="17:17" ht="20.100000000000001" customHeight="1" x14ac:dyDescent="0.25">
      <c r="Q226" s="1"/>
    </row>
    <row r="227" spans="17:17" ht="20.100000000000001" customHeight="1" x14ac:dyDescent="0.25">
      <c r="Q227" s="1"/>
    </row>
    <row r="228" spans="17:17" ht="20.100000000000001" customHeight="1" x14ac:dyDescent="0.25">
      <c r="Q228" s="1"/>
    </row>
    <row r="229" spans="17:17" ht="20.100000000000001" customHeight="1" x14ac:dyDescent="0.25">
      <c r="Q229" s="1"/>
    </row>
    <row r="230" spans="17:17" ht="20.100000000000001" customHeight="1" x14ac:dyDescent="0.25">
      <c r="Q230" s="1"/>
    </row>
    <row r="231" spans="17:17" ht="20.100000000000001" customHeight="1" x14ac:dyDescent="0.25">
      <c r="Q231" s="1"/>
    </row>
    <row r="232" spans="17:17" ht="20.100000000000001" customHeight="1" x14ac:dyDescent="0.25">
      <c r="Q232" s="1"/>
    </row>
    <row r="233" spans="17:17" ht="20.100000000000001" customHeight="1" x14ac:dyDescent="0.25">
      <c r="Q233" s="1"/>
    </row>
    <row r="234" spans="17:17" ht="20.100000000000001" customHeight="1" x14ac:dyDescent="0.25">
      <c r="Q234" s="1"/>
    </row>
    <row r="235" spans="17:17" ht="20.100000000000001" customHeight="1" x14ac:dyDescent="0.25">
      <c r="Q235" s="1"/>
    </row>
    <row r="236" spans="17:17" ht="20.100000000000001" customHeight="1" x14ac:dyDescent="0.25">
      <c r="Q236" s="1"/>
    </row>
    <row r="237" spans="17:17" ht="20.100000000000001" customHeight="1" x14ac:dyDescent="0.25">
      <c r="Q237" s="1"/>
    </row>
    <row r="238" spans="17:17" ht="20.100000000000001" customHeight="1" x14ac:dyDescent="0.25">
      <c r="Q238" s="1"/>
    </row>
    <row r="239" spans="17:17" ht="20.100000000000001" customHeight="1" x14ac:dyDescent="0.25">
      <c r="Q239" s="1"/>
    </row>
    <row r="240" spans="17:17" ht="20.100000000000001" customHeight="1" x14ac:dyDescent="0.25">
      <c r="Q240" s="1"/>
    </row>
    <row r="241" spans="17:17" ht="20.100000000000001" customHeight="1" x14ac:dyDescent="0.25">
      <c r="Q241" s="1"/>
    </row>
    <row r="242" spans="17:17" ht="20.100000000000001" customHeight="1" x14ac:dyDescent="0.25">
      <c r="Q242" s="1"/>
    </row>
    <row r="243" spans="17:17" ht="20.100000000000001" customHeight="1" x14ac:dyDescent="0.25">
      <c r="Q243" s="1"/>
    </row>
    <row r="244" spans="17:17" ht="20.100000000000001" customHeight="1" x14ac:dyDescent="0.25">
      <c r="Q244" s="1"/>
    </row>
    <row r="245" spans="17:17" ht="20.100000000000001" customHeight="1" x14ac:dyDescent="0.25">
      <c r="Q245" s="1"/>
    </row>
    <row r="246" spans="17:17" ht="20.100000000000001" customHeight="1" x14ac:dyDescent="0.25">
      <c r="Q246" s="1"/>
    </row>
    <row r="247" spans="17:17" ht="20.100000000000001" customHeight="1" x14ac:dyDescent="0.25">
      <c r="Q247" s="1"/>
    </row>
    <row r="248" spans="17:17" ht="20.100000000000001" customHeight="1" x14ac:dyDescent="0.25">
      <c r="Q248" s="1"/>
    </row>
    <row r="249" spans="17:17" ht="20.100000000000001" customHeight="1" x14ac:dyDescent="0.25">
      <c r="Q249" s="1"/>
    </row>
    <row r="250" spans="17:17" ht="20.100000000000001" customHeight="1" x14ac:dyDescent="0.25">
      <c r="Q250" s="1"/>
    </row>
    <row r="251" spans="17:17" ht="20.100000000000001" customHeight="1" x14ac:dyDescent="0.25">
      <c r="Q251" s="1"/>
    </row>
    <row r="252" spans="17:17" ht="20.100000000000001" customHeight="1" x14ac:dyDescent="0.25">
      <c r="Q252" s="1"/>
    </row>
    <row r="253" spans="17:17" ht="20.100000000000001" customHeight="1" x14ac:dyDescent="0.25">
      <c r="Q253" s="1"/>
    </row>
    <row r="254" spans="17:17" ht="20.100000000000001" customHeight="1" x14ac:dyDescent="0.25">
      <c r="Q254" s="1"/>
    </row>
    <row r="255" spans="17:17" ht="20.100000000000001" customHeight="1" x14ac:dyDescent="0.25">
      <c r="Q255" s="1"/>
    </row>
    <row r="256" spans="17:17" ht="20.100000000000001" customHeight="1" x14ac:dyDescent="0.25">
      <c r="Q256" s="1"/>
    </row>
    <row r="257" spans="17:17" ht="20.100000000000001" customHeight="1" x14ac:dyDescent="0.25">
      <c r="Q257" s="1"/>
    </row>
    <row r="258" spans="17:17" ht="20.100000000000001" customHeight="1" x14ac:dyDescent="0.25">
      <c r="Q258" s="1"/>
    </row>
    <row r="259" spans="17:17" ht="20.100000000000001" customHeight="1" x14ac:dyDescent="0.25">
      <c r="Q259" s="1"/>
    </row>
    <row r="260" spans="17:17" ht="20.100000000000001" customHeight="1" x14ac:dyDescent="0.25">
      <c r="Q260" s="1"/>
    </row>
    <row r="261" spans="17:17" ht="20.100000000000001" customHeight="1" x14ac:dyDescent="0.25">
      <c r="Q261" s="1"/>
    </row>
    <row r="262" spans="17:17" ht="20.100000000000001" customHeight="1" x14ac:dyDescent="0.25">
      <c r="Q262" s="1"/>
    </row>
    <row r="263" spans="17:17" ht="20.100000000000001" customHeight="1" x14ac:dyDescent="0.25">
      <c r="Q263" s="1"/>
    </row>
    <row r="264" spans="17:17" ht="20.100000000000001" customHeight="1" x14ac:dyDescent="0.25">
      <c r="Q264" s="1"/>
    </row>
    <row r="265" spans="17:17" ht="20.100000000000001" customHeight="1" x14ac:dyDescent="0.25">
      <c r="Q265" s="1"/>
    </row>
    <row r="266" spans="17:17" ht="20.100000000000001" customHeight="1" x14ac:dyDescent="0.25">
      <c r="Q266" s="1"/>
    </row>
    <row r="267" spans="17:17" ht="20.100000000000001" customHeight="1" x14ac:dyDescent="0.25">
      <c r="Q267" s="1"/>
    </row>
    <row r="268" spans="17:17" ht="20.100000000000001" customHeight="1" x14ac:dyDescent="0.25">
      <c r="Q268" s="1"/>
    </row>
    <row r="269" spans="17:17" ht="20.100000000000001" customHeight="1" x14ac:dyDescent="0.25">
      <c r="Q269" s="1"/>
    </row>
    <row r="270" spans="17:17" ht="20.100000000000001" customHeight="1" x14ac:dyDescent="0.25">
      <c r="Q270" s="1"/>
    </row>
    <row r="271" spans="17:17" ht="20.100000000000001" customHeight="1" x14ac:dyDescent="0.25">
      <c r="Q271" s="1"/>
    </row>
    <row r="272" spans="17:17" ht="20.100000000000001" customHeight="1" x14ac:dyDescent="0.25">
      <c r="Q272" s="1"/>
    </row>
    <row r="273" spans="17:17" ht="20.100000000000001" customHeight="1" x14ac:dyDescent="0.25">
      <c r="Q273" s="1"/>
    </row>
    <row r="274" spans="17:17" ht="20.100000000000001" customHeight="1" x14ac:dyDescent="0.25">
      <c r="Q274" s="1"/>
    </row>
    <row r="275" spans="17:17" ht="20.100000000000001" customHeight="1" x14ac:dyDescent="0.25">
      <c r="Q275" s="1"/>
    </row>
    <row r="276" spans="17:17" ht="20.100000000000001" customHeight="1" x14ac:dyDescent="0.25">
      <c r="Q276" s="1"/>
    </row>
    <row r="277" spans="17:17" ht="20.100000000000001" customHeight="1" x14ac:dyDescent="0.25">
      <c r="Q277" s="1"/>
    </row>
    <row r="278" spans="17:17" ht="20.100000000000001" customHeight="1" x14ac:dyDescent="0.25">
      <c r="Q278" s="1"/>
    </row>
    <row r="279" spans="17:17" ht="20.100000000000001" customHeight="1" x14ac:dyDescent="0.25">
      <c r="Q279" s="1"/>
    </row>
    <row r="280" spans="17:17" ht="20.100000000000001" customHeight="1" x14ac:dyDescent="0.25">
      <c r="Q280" s="1"/>
    </row>
    <row r="281" spans="17:17" ht="20.100000000000001" customHeight="1" x14ac:dyDescent="0.25">
      <c r="Q281" s="1"/>
    </row>
    <row r="282" spans="17:17" ht="20.100000000000001" customHeight="1" x14ac:dyDescent="0.25">
      <c r="Q282" s="1"/>
    </row>
    <row r="283" spans="17:17" ht="20.100000000000001" customHeight="1" x14ac:dyDescent="0.25">
      <c r="Q283" s="1"/>
    </row>
    <row r="284" spans="17:17" ht="20.100000000000001" customHeight="1" x14ac:dyDescent="0.25">
      <c r="Q284" s="1"/>
    </row>
    <row r="285" spans="17:17" ht="20.100000000000001" customHeight="1" x14ac:dyDescent="0.25">
      <c r="Q285" s="1"/>
    </row>
    <row r="286" spans="17:17" ht="20.100000000000001" customHeight="1" x14ac:dyDescent="0.25">
      <c r="Q286" s="1"/>
    </row>
    <row r="287" spans="17:17" ht="20.100000000000001" customHeight="1" x14ac:dyDescent="0.25">
      <c r="Q287" s="1"/>
    </row>
    <row r="288" spans="17:17" ht="20.100000000000001" customHeight="1" x14ac:dyDescent="0.25">
      <c r="Q288" s="1"/>
    </row>
    <row r="289" spans="17:17" ht="20.100000000000001" customHeight="1" x14ac:dyDescent="0.25">
      <c r="Q289" s="1"/>
    </row>
    <row r="290" spans="17:17" ht="20.100000000000001" customHeight="1" x14ac:dyDescent="0.25">
      <c r="Q290" s="1"/>
    </row>
    <row r="291" spans="17:17" ht="20.100000000000001" customHeight="1" x14ac:dyDescent="0.25">
      <c r="Q291" s="1"/>
    </row>
    <row r="292" spans="17:17" ht="20.100000000000001" customHeight="1" x14ac:dyDescent="0.25">
      <c r="Q292" s="1"/>
    </row>
    <row r="293" spans="17:17" ht="20.100000000000001" customHeight="1" x14ac:dyDescent="0.25">
      <c r="Q293" s="1"/>
    </row>
    <row r="294" spans="17:17" ht="20.100000000000001" customHeight="1" x14ac:dyDescent="0.25">
      <c r="Q294" s="1"/>
    </row>
    <row r="295" spans="17:17" ht="20.100000000000001" customHeight="1" x14ac:dyDescent="0.25">
      <c r="Q295" s="1"/>
    </row>
    <row r="296" spans="17:17" ht="20.100000000000001" customHeight="1" x14ac:dyDescent="0.25">
      <c r="Q296" s="1"/>
    </row>
    <row r="297" spans="17:17" ht="20.100000000000001" customHeight="1" x14ac:dyDescent="0.25">
      <c r="Q297" s="1"/>
    </row>
    <row r="298" spans="17:17" ht="20.100000000000001" customHeight="1" x14ac:dyDescent="0.25">
      <c r="Q298" s="1"/>
    </row>
    <row r="299" spans="17:17" ht="20.100000000000001" customHeight="1" x14ac:dyDescent="0.25">
      <c r="Q299" s="1"/>
    </row>
    <row r="300" spans="17:17" ht="20.100000000000001" customHeight="1" x14ac:dyDescent="0.25">
      <c r="Q300" s="1"/>
    </row>
    <row r="301" spans="17:17" ht="20.100000000000001" customHeight="1" x14ac:dyDescent="0.25">
      <c r="Q301" s="1"/>
    </row>
    <row r="302" spans="17:17" ht="20.100000000000001" customHeight="1" x14ac:dyDescent="0.25">
      <c r="Q302" s="1"/>
    </row>
    <row r="303" spans="17:17" ht="20.100000000000001" customHeight="1" x14ac:dyDescent="0.25">
      <c r="Q303" s="1"/>
    </row>
    <row r="304" spans="17:17" ht="20.100000000000001" customHeight="1" x14ac:dyDescent="0.25">
      <c r="Q304" s="1"/>
    </row>
    <row r="305" spans="17:17" ht="20.100000000000001" customHeight="1" x14ac:dyDescent="0.25">
      <c r="Q305" s="1"/>
    </row>
    <row r="306" spans="17:17" ht="20.100000000000001" customHeight="1" x14ac:dyDescent="0.25">
      <c r="Q306" s="1"/>
    </row>
    <row r="307" spans="17:17" ht="20.100000000000001" customHeight="1" x14ac:dyDescent="0.25">
      <c r="Q307" s="1"/>
    </row>
    <row r="308" spans="17:17" ht="20.100000000000001" customHeight="1" x14ac:dyDescent="0.25">
      <c r="Q308" s="1"/>
    </row>
    <row r="309" spans="17:17" ht="20.100000000000001" customHeight="1" x14ac:dyDescent="0.25">
      <c r="Q309" s="1"/>
    </row>
    <row r="310" spans="17:17" ht="20.100000000000001" customHeight="1" x14ac:dyDescent="0.25">
      <c r="Q310" s="1"/>
    </row>
    <row r="311" spans="17:17" ht="20.100000000000001" customHeight="1" x14ac:dyDescent="0.25">
      <c r="Q311" s="1"/>
    </row>
    <row r="312" spans="17:17" ht="20.100000000000001" customHeight="1" x14ac:dyDescent="0.25">
      <c r="Q312" s="1"/>
    </row>
    <row r="313" spans="17:17" ht="20.100000000000001" customHeight="1" x14ac:dyDescent="0.25">
      <c r="Q313" s="1"/>
    </row>
    <row r="314" spans="17:17" ht="20.100000000000001" customHeight="1" x14ac:dyDescent="0.25">
      <c r="Q314" s="1"/>
    </row>
    <row r="315" spans="17:17" ht="20.100000000000001" customHeight="1" x14ac:dyDescent="0.25">
      <c r="Q315" s="1"/>
    </row>
    <row r="316" spans="17:17" ht="20.100000000000001" customHeight="1" x14ac:dyDescent="0.25">
      <c r="Q316" s="1"/>
    </row>
    <row r="317" spans="17:17" ht="20.100000000000001" customHeight="1" x14ac:dyDescent="0.25">
      <c r="Q317" s="1"/>
    </row>
    <row r="318" spans="17:17" ht="20.100000000000001" customHeight="1" x14ac:dyDescent="0.25">
      <c r="Q318" s="1"/>
    </row>
    <row r="319" spans="17:17" ht="20.100000000000001" customHeight="1" x14ac:dyDescent="0.25">
      <c r="Q319" s="1"/>
    </row>
    <row r="320" spans="17:17" ht="20.100000000000001" customHeight="1" x14ac:dyDescent="0.25">
      <c r="Q320" s="1"/>
    </row>
    <row r="321" spans="17:17" ht="20.100000000000001" customHeight="1" x14ac:dyDescent="0.25">
      <c r="Q321" s="1"/>
    </row>
    <row r="322" spans="17:17" ht="20.100000000000001" customHeight="1" x14ac:dyDescent="0.25">
      <c r="Q322" s="1"/>
    </row>
    <row r="323" spans="17:17" ht="20.100000000000001" customHeight="1" x14ac:dyDescent="0.25">
      <c r="Q323" s="1"/>
    </row>
    <row r="324" spans="17:17" ht="20.100000000000001" customHeight="1" x14ac:dyDescent="0.25">
      <c r="Q324" s="1"/>
    </row>
    <row r="325" spans="17:17" ht="20.100000000000001" customHeight="1" x14ac:dyDescent="0.25">
      <c r="Q325" s="1"/>
    </row>
    <row r="326" spans="17:17" ht="20.100000000000001" customHeight="1" x14ac:dyDescent="0.25">
      <c r="Q326" s="1"/>
    </row>
    <row r="327" spans="17:17" ht="20.100000000000001" customHeight="1" x14ac:dyDescent="0.25">
      <c r="Q327" s="1"/>
    </row>
    <row r="328" spans="17:17" ht="20.100000000000001" customHeight="1" x14ac:dyDescent="0.25">
      <c r="Q328" s="1"/>
    </row>
    <row r="329" spans="17:17" ht="20.100000000000001" customHeight="1" x14ac:dyDescent="0.25">
      <c r="Q329" s="1"/>
    </row>
    <row r="330" spans="17:17" ht="20.100000000000001" customHeight="1" x14ac:dyDescent="0.25">
      <c r="Q330" s="1"/>
    </row>
    <row r="331" spans="17:17" ht="20.100000000000001" customHeight="1" x14ac:dyDescent="0.25">
      <c r="Q331" s="1"/>
    </row>
    <row r="332" spans="17:17" ht="20.100000000000001" customHeight="1" x14ac:dyDescent="0.25">
      <c r="Q332" s="1"/>
    </row>
    <row r="333" spans="17:17" ht="20.100000000000001" customHeight="1" x14ac:dyDescent="0.25">
      <c r="Q333" s="1"/>
    </row>
    <row r="334" spans="17:17" ht="20.100000000000001" customHeight="1" x14ac:dyDescent="0.25">
      <c r="Q334" s="1"/>
    </row>
    <row r="335" spans="17:17" ht="20.100000000000001" customHeight="1" x14ac:dyDescent="0.25">
      <c r="Q335" s="1"/>
    </row>
    <row r="336" spans="17:17" ht="20.100000000000001" customHeight="1" x14ac:dyDescent="0.25">
      <c r="Q336" s="1"/>
    </row>
    <row r="337" spans="17:17" ht="20.100000000000001" customHeight="1" x14ac:dyDescent="0.25">
      <c r="Q337" s="1"/>
    </row>
    <row r="338" spans="17:17" ht="20.100000000000001" customHeight="1" x14ac:dyDescent="0.25">
      <c r="Q338" s="1"/>
    </row>
    <row r="339" spans="17:17" ht="20.100000000000001" customHeight="1" x14ac:dyDescent="0.25">
      <c r="Q339" s="1"/>
    </row>
    <row r="340" spans="17:17" ht="20.100000000000001" customHeight="1" x14ac:dyDescent="0.25">
      <c r="Q340" s="1"/>
    </row>
    <row r="341" spans="17:17" ht="20.100000000000001" customHeight="1" x14ac:dyDescent="0.25">
      <c r="Q341" s="1"/>
    </row>
    <row r="342" spans="17:17" ht="20.100000000000001" customHeight="1" x14ac:dyDescent="0.25">
      <c r="Q342" s="1"/>
    </row>
    <row r="343" spans="17:17" ht="20.100000000000001" customHeight="1" x14ac:dyDescent="0.25">
      <c r="Q343" s="1"/>
    </row>
    <row r="344" spans="17:17" ht="20.100000000000001" customHeight="1" x14ac:dyDescent="0.25">
      <c r="Q344" s="1"/>
    </row>
    <row r="345" spans="17:17" ht="20.100000000000001" customHeight="1" x14ac:dyDescent="0.25">
      <c r="Q345" s="1"/>
    </row>
    <row r="346" spans="17:17" ht="20.100000000000001" customHeight="1" x14ac:dyDescent="0.25">
      <c r="Q346" s="1"/>
    </row>
    <row r="347" spans="17:17" ht="20.100000000000001" customHeight="1" x14ac:dyDescent="0.25">
      <c r="Q347" s="1"/>
    </row>
    <row r="348" spans="17:17" ht="20.100000000000001" customHeight="1" x14ac:dyDescent="0.25">
      <c r="Q348" s="1"/>
    </row>
    <row r="349" spans="17:17" ht="20.100000000000001" customHeight="1" x14ac:dyDescent="0.25">
      <c r="Q349" s="1"/>
    </row>
    <row r="350" spans="17:17" ht="20.100000000000001" customHeight="1" x14ac:dyDescent="0.25">
      <c r="Q350" s="1"/>
    </row>
    <row r="351" spans="17:17" ht="20.100000000000001" customHeight="1" x14ac:dyDescent="0.25">
      <c r="Q351" s="1"/>
    </row>
    <row r="352" spans="17:17" ht="20.100000000000001" customHeight="1" x14ac:dyDescent="0.25">
      <c r="Q352" s="1"/>
    </row>
    <row r="353" spans="17:17" ht="20.100000000000001" customHeight="1" x14ac:dyDescent="0.25">
      <c r="Q353" s="1"/>
    </row>
    <row r="354" spans="17:17" ht="20.100000000000001" customHeight="1" x14ac:dyDescent="0.25">
      <c r="Q354" s="1"/>
    </row>
    <row r="355" spans="17:17" ht="20.100000000000001" customHeight="1" x14ac:dyDescent="0.25">
      <c r="Q355" s="1"/>
    </row>
    <row r="356" spans="17:17" ht="20.100000000000001" customHeight="1" x14ac:dyDescent="0.25">
      <c r="Q356" s="1"/>
    </row>
    <row r="357" spans="17:17" ht="20.100000000000001" customHeight="1" x14ac:dyDescent="0.25">
      <c r="Q357" s="1"/>
    </row>
    <row r="358" spans="17:17" ht="20.100000000000001" customHeight="1" x14ac:dyDescent="0.25">
      <c r="Q358" s="1"/>
    </row>
    <row r="359" spans="17:17" ht="20.100000000000001" customHeight="1" x14ac:dyDescent="0.25">
      <c r="Q359" s="1"/>
    </row>
    <row r="360" spans="17:17" ht="20.100000000000001" customHeight="1" x14ac:dyDescent="0.25">
      <c r="Q360" s="1"/>
    </row>
    <row r="361" spans="17:17" ht="20.100000000000001" customHeight="1" x14ac:dyDescent="0.25">
      <c r="Q361" s="1"/>
    </row>
    <row r="362" spans="17:17" ht="20.100000000000001" customHeight="1" x14ac:dyDescent="0.25">
      <c r="Q362" s="1"/>
    </row>
    <row r="363" spans="17:17" ht="20.100000000000001" customHeight="1" x14ac:dyDescent="0.25">
      <c r="Q363" s="1"/>
    </row>
    <row r="364" spans="17:17" ht="20.100000000000001" customHeight="1" x14ac:dyDescent="0.25">
      <c r="Q364" s="1"/>
    </row>
    <row r="365" spans="17:17" ht="20.100000000000001" customHeight="1" x14ac:dyDescent="0.25">
      <c r="Q365" s="1"/>
    </row>
    <row r="366" spans="17:17" ht="20.100000000000001" customHeight="1" x14ac:dyDescent="0.25">
      <c r="Q366" s="1"/>
    </row>
    <row r="367" spans="17:17" ht="20.100000000000001" customHeight="1" x14ac:dyDescent="0.25">
      <c r="Q367" s="1"/>
    </row>
    <row r="368" spans="17:17" ht="20.100000000000001" customHeight="1" x14ac:dyDescent="0.25">
      <c r="Q368" s="1"/>
    </row>
    <row r="369" spans="17:17" ht="20.100000000000001" customHeight="1" x14ac:dyDescent="0.25">
      <c r="Q369" s="1"/>
    </row>
    <row r="370" spans="17:17" ht="20.100000000000001" customHeight="1" x14ac:dyDescent="0.25">
      <c r="Q370" s="1"/>
    </row>
    <row r="371" spans="17:17" ht="20.100000000000001" customHeight="1" x14ac:dyDescent="0.25">
      <c r="Q371" s="1"/>
    </row>
    <row r="372" spans="17:17" ht="20.100000000000001" customHeight="1" x14ac:dyDescent="0.25">
      <c r="Q372" s="1"/>
    </row>
    <row r="373" spans="17:17" ht="20.100000000000001" customHeight="1" x14ac:dyDescent="0.25">
      <c r="Q373" s="1"/>
    </row>
    <row r="374" spans="17:17" ht="20.100000000000001" customHeight="1" x14ac:dyDescent="0.25">
      <c r="Q374" s="1"/>
    </row>
    <row r="375" spans="17:17" ht="20.100000000000001" customHeight="1" x14ac:dyDescent="0.25">
      <c r="Q375" s="1"/>
    </row>
    <row r="376" spans="17:17" ht="20.100000000000001" customHeight="1" x14ac:dyDescent="0.25">
      <c r="Q376" s="1"/>
    </row>
    <row r="377" spans="17:17" ht="20.100000000000001" customHeight="1" x14ac:dyDescent="0.25">
      <c r="Q377" s="1"/>
    </row>
    <row r="378" spans="17:17" ht="20.100000000000001" customHeight="1" x14ac:dyDescent="0.25">
      <c r="Q378" s="1"/>
    </row>
    <row r="379" spans="17:17" ht="20.100000000000001" customHeight="1" x14ac:dyDescent="0.25">
      <c r="Q379" s="1"/>
    </row>
    <row r="380" spans="17:17" ht="20.100000000000001" customHeight="1" x14ac:dyDescent="0.25">
      <c r="Q380" s="1"/>
    </row>
    <row r="381" spans="17:17" ht="20.100000000000001" customHeight="1" x14ac:dyDescent="0.25">
      <c r="Q381" s="1"/>
    </row>
    <row r="382" spans="17:17" ht="20.100000000000001" customHeight="1" x14ac:dyDescent="0.25">
      <c r="Q382" s="1"/>
    </row>
    <row r="383" spans="17:17" ht="20.100000000000001" customHeight="1" x14ac:dyDescent="0.25">
      <c r="Q383" s="1"/>
    </row>
    <row r="384" spans="17:17" ht="20.100000000000001" customHeight="1" x14ac:dyDescent="0.25">
      <c r="Q384" s="1"/>
    </row>
    <row r="385" spans="17:17" ht="20.100000000000001" customHeight="1" x14ac:dyDescent="0.25">
      <c r="Q385" s="1"/>
    </row>
    <row r="386" spans="17:17" ht="20.100000000000001" customHeight="1" x14ac:dyDescent="0.25">
      <c r="Q386" s="1"/>
    </row>
    <row r="387" spans="17:17" ht="20.100000000000001" customHeight="1" x14ac:dyDescent="0.25">
      <c r="Q387" s="1"/>
    </row>
    <row r="388" spans="17:17" ht="20.100000000000001" customHeight="1" x14ac:dyDescent="0.25">
      <c r="Q388" s="1"/>
    </row>
    <row r="389" spans="17:17" ht="20.100000000000001" customHeight="1" x14ac:dyDescent="0.25">
      <c r="Q389" s="1"/>
    </row>
    <row r="390" spans="17:17" ht="20.100000000000001" customHeight="1" x14ac:dyDescent="0.25">
      <c r="Q390" s="1"/>
    </row>
    <row r="391" spans="17:17" ht="20.100000000000001" customHeight="1" x14ac:dyDescent="0.25">
      <c r="Q391" s="1"/>
    </row>
    <row r="392" spans="17:17" ht="20.100000000000001" customHeight="1" x14ac:dyDescent="0.25">
      <c r="Q392" s="1"/>
    </row>
    <row r="393" spans="17:17" ht="20.100000000000001" customHeight="1" x14ac:dyDescent="0.25">
      <c r="Q393" s="1"/>
    </row>
    <row r="394" spans="17:17" ht="20.100000000000001" customHeight="1" x14ac:dyDescent="0.25">
      <c r="Q394" s="1"/>
    </row>
    <row r="395" spans="17:17" ht="20.100000000000001" customHeight="1" x14ac:dyDescent="0.25">
      <c r="Q395" s="1"/>
    </row>
    <row r="396" spans="17:17" ht="20.100000000000001" customHeight="1" x14ac:dyDescent="0.25">
      <c r="Q396" s="1"/>
    </row>
    <row r="397" spans="17:17" ht="20.100000000000001" customHeight="1" x14ac:dyDescent="0.25">
      <c r="Q397" s="1"/>
    </row>
    <row r="398" spans="17:17" ht="20.100000000000001" customHeight="1" x14ac:dyDescent="0.25">
      <c r="Q398" s="1"/>
    </row>
    <row r="399" spans="17:17" ht="20.100000000000001" customHeight="1" x14ac:dyDescent="0.25">
      <c r="Q399" s="1"/>
    </row>
    <row r="400" spans="17:17" ht="20.100000000000001" customHeight="1" x14ac:dyDescent="0.25">
      <c r="Q400" s="1"/>
    </row>
    <row r="401" spans="17:17" ht="20.100000000000001" customHeight="1" x14ac:dyDescent="0.25">
      <c r="Q401" s="1"/>
    </row>
    <row r="402" spans="17:17" ht="20.100000000000001" customHeight="1" x14ac:dyDescent="0.25">
      <c r="Q402" s="1"/>
    </row>
    <row r="403" spans="17:17" ht="20.100000000000001" customHeight="1" x14ac:dyDescent="0.25">
      <c r="Q403" s="1"/>
    </row>
    <row r="404" spans="17:17" ht="20.100000000000001" customHeight="1" x14ac:dyDescent="0.25">
      <c r="Q404" s="1"/>
    </row>
    <row r="405" spans="17:17" ht="20.100000000000001" customHeight="1" x14ac:dyDescent="0.25">
      <c r="Q405" s="1"/>
    </row>
    <row r="406" spans="17:17" ht="20.100000000000001" customHeight="1" x14ac:dyDescent="0.25">
      <c r="Q406" s="1"/>
    </row>
    <row r="407" spans="17:17" ht="20.100000000000001" customHeight="1" x14ac:dyDescent="0.25">
      <c r="Q407" s="1"/>
    </row>
    <row r="408" spans="17:17" ht="20.100000000000001" customHeight="1" x14ac:dyDescent="0.25">
      <c r="Q408" s="1"/>
    </row>
    <row r="409" spans="17:17" ht="20.100000000000001" customHeight="1" x14ac:dyDescent="0.25">
      <c r="Q409" s="1"/>
    </row>
    <row r="410" spans="17:17" ht="20.100000000000001" customHeight="1" x14ac:dyDescent="0.25">
      <c r="Q410" s="1"/>
    </row>
    <row r="411" spans="17:17" ht="20.100000000000001" customHeight="1" x14ac:dyDescent="0.25">
      <c r="Q411" s="1"/>
    </row>
    <row r="412" spans="17:17" ht="20.100000000000001" customHeight="1" x14ac:dyDescent="0.25">
      <c r="Q412" s="1"/>
    </row>
    <row r="413" spans="17:17" ht="20.100000000000001" customHeight="1" x14ac:dyDescent="0.25">
      <c r="Q413" s="1"/>
    </row>
    <row r="414" spans="17:17" ht="20.100000000000001" customHeight="1" x14ac:dyDescent="0.25">
      <c r="Q414" s="1"/>
    </row>
    <row r="415" spans="17:17" ht="20.100000000000001" customHeight="1" x14ac:dyDescent="0.25">
      <c r="Q415" s="1"/>
    </row>
    <row r="416" spans="17:17" ht="20.100000000000001" customHeight="1" x14ac:dyDescent="0.25">
      <c r="Q416" s="1"/>
    </row>
    <row r="417" spans="17:17" ht="20.100000000000001" customHeight="1" x14ac:dyDescent="0.25">
      <c r="Q417" s="1"/>
    </row>
    <row r="418" spans="17:17" ht="20.100000000000001" customHeight="1" x14ac:dyDescent="0.25">
      <c r="Q418" s="1"/>
    </row>
    <row r="419" spans="17:17" ht="20.100000000000001" customHeight="1" x14ac:dyDescent="0.25">
      <c r="Q419" s="1"/>
    </row>
    <row r="420" spans="17:17" ht="20.100000000000001" customHeight="1" x14ac:dyDescent="0.25">
      <c r="Q420" s="1"/>
    </row>
    <row r="421" spans="17:17" ht="20.100000000000001" customHeight="1" x14ac:dyDescent="0.25">
      <c r="Q421" s="1"/>
    </row>
    <row r="422" spans="17:17" ht="20.100000000000001" customHeight="1" x14ac:dyDescent="0.25">
      <c r="Q422" s="1"/>
    </row>
    <row r="423" spans="17:17" ht="20.100000000000001" customHeight="1" x14ac:dyDescent="0.25">
      <c r="Q423" s="1"/>
    </row>
    <row r="424" spans="17:17" ht="20.100000000000001" customHeight="1" x14ac:dyDescent="0.25">
      <c r="Q424" s="1"/>
    </row>
    <row r="425" spans="17:17" ht="20.100000000000001" customHeight="1" x14ac:dyDescent="0.25">
      <c r="Q425" s="1"/>
    </row>
    <row r="426" spans="17:17" ht="20.100000000000001" customHeight="1" x14ac:dyDescent="0.25">
      <c r="Q426" s="1"/>
    </row>
    <row r="427" spans="17:17" ht="20.100000000000001" customHeight="1" x14ac:dyDescent="0.25">
      <c r="Q427" s="1"/>
    </row>
    <row r="428" spans="17:17" ht="20.100000000000001" customHeight="1" x14ac:dyDescent="0.25">
      <c r="Q428" s="1"/>
    </row>
    <row r="429" spans="17:17" ht="20.100000000000001" customHeight="1" x14ac:dyDescent="0.25">
      <c r="Q429" s="1"/>
    </row>
    <row r="430" spans="17:17" ht="20.100000000000001" customHeight="1" x14ac:dyDescent="0.25">
      <c r="Q430" s="1"/>
    </row>
    <row r="431" spans="17:17" ht="20.100000000000001" customHeight="1" x14ac:dyDescent="0.25">
      <c r="Q431" s="1"/>
    </row>
    <row r="432" spans="17:17" ht="20.100000000000001" customHeight="1" x14ac:dyDescent="0.25">
      <c r="Q432" s="1"/>
    </row>
    <row r="433" spans="17:17" ht="20.100000000000001" customHeight="1" x14ac:dyDescent="0.25">
      <c r="Q433" s="1"/>
    </row>
    <row r="434" spans="17:17" ht="20.100000000000001" customHeight="1" x14ac:dyDescent="0.25">
      <c r="Q434" s="1"/>
    </row>
    <row r="435" spans="17:17" ht="20.100000000000001" customHeight="1" x14ac:dyDescent="0.25">
      <c r="Q435" s="1"/>
    </row>
    <row r="436" spans="17:17" ht="20.100000000000001" customHeight="1" x14ac:dyDescent="0.25">
      <c r="Q436" s="1"/>
    </row>
    <row r="437" spans="17:17" ht="20.100000000000001" customHeight="1" x14ac:dyDescent="0.25">
      <c r="Q437" s="1"/>
    </row>
    <row r="438" spans="17:17" ht="20.100000000000001" customHeight="1" x14ac:dyDescent="0.25">
      <c r="Q438" s="1"/>
    </row>
    <row r="439" spans="17:17" ht="20.100000000000001" customHeight="1" x14ac:dyDescent="0.25">
      <c r="Q439" s="1"/>
    </row>
    <row r="440" spans="17:17" ht="20.100000000000001" customHeight="1" x14ac:dyDescent="0.25">
      <c r="Q440" s="1"/>
    </row>
    <row r="441" spans="17:17" ht="20.100000000000001" customHeight="1" x14ac:dyDescent="0.25">
      <c r="Q441" s="1"/>
    </row>
    <row r="442" spans="17:17" ht="20.100000000000001" customHeight="1" x14ac:dyDescent="0.25">
      <c r="Q442" s="1"/>
    </row>
    <row r="443" spans="17:17" ht="20.100000000000001" customHeight="1" x14ac:dyDescent="0.25">
      <c r="Q443" s="1"/>
    </row>
    <row r="444" spans="17:17" ht="20.100000000000001" customHeight="1" x14ac:dyDescent="0.25">
      <c r="Q444" s="1"/>
    </row>
    <row r="445" spans="17:17" ht="20.100000000000001" customHeight="1" x14ac:dyDescent="0.25">
      <c r="Q445" s="1"/>
    </row>
    <row r="446" spans="17:17" ht="20.100000000000001" customHeight="1" x14ac:dyDescent="0.25">
      <c r="Q446" s="1"/>
    </row>
    <row r="447" spans="17:17" ht="20.100000000000001" customHeight="1" x14ac:dyDescent="0.25">
      <c r="Q447" s="1"/>
    </row>
    <row r="448" spans="17:17" ht="20.100000000000001" customHeight="1" x14ac:dyDescent="0.25">
      <c r="Q448" s="1"/>
    </row>
    <row r="449" spans="17:17" ht="20.100000000000001" customHeight="1" x14ac:dyDescent="0.25">
      <c r="Q449" s="1"/>
    </row>
    <row r="450" spans="17:17" ht="20.100000000000001" customHeight="1" x14ac:dyDescent="0.25">
      <c r="Q450" s="1"/>
    </row>
    <row r="451" spans="17:17" ht="20.100000000000001" customHeight="1" x14ac:dyDescent="0.25">
      <c r="Q451" s="1"/>
    </row>
    <row r="452" spans="17:17" ht="20.100000000000001" customHeight="1" x14ac:dyDescent="0.25">
      <c r="Q452" s="1"/>
    </row>
    <row r="453" spans="17:17" ht="20.100000000000001" customHeight="1" x14ac:dyDescent="0.25">
      <c r="Q453" s="1"/>
    </row>
    <row r="454" spans="17:17" ht="20.100000000000001" customHeight="1" x14ac:dyDescent="0.25">
      <c r="Q454" s="1"/>
    </row>
    <row r="455" spans="17:17" ht="20.100000000000001" customHeight="1" x14ac:dyDescent="0.25">
      <c r="Q455" s="1"/>
    </row>
    <row r="456" spans="17:17" ht="20.100000000000001" customHeight="1" x14ac:dyDescent="0.25">
      <c r="Q456" s="1"/>
    </row>
    <row r="457" spans="17:17" ht="20.100000000000001" customHeight="1" x14ac:dyDescent="0.25">
      <c r="Q457" s="1"/>
    </row>
    <row r="458" spans="17:17" ht="20.100000000000001" customHeight="1" x14ac:dyDescent="0.25">
      <c r="Q458" s="1"/>
    </row>
    <row r="459" spans="17:17" ht="20.100000000000001" customHeight="1" x14ac:dyDescent="0.25">
      <c r="Q459" s="1"/>
    </row>
    <row r="460" spans="17:17" ht="20.100000000000001" customHeight="1" x14ac:dyDescent="0.25">
      <c r="Q460" s="1"/>
    </row>
    <row r="461" spans="17:17" ht="20.100000000000001" customHeight="1" x14ac:dyDescent="0.25">
      <c r="Q461" s="1"/>
    </row>
    <row r="462" spans="17:17" ht="20.100000000000001" customHeight="1" x14ac:dyDescent="0.25">
      <c r="Q462" s="1"/>
    </row>
    <row r="463" spans="17:17" ht="20.100000000000001" customHeight="1" x14ac:dyDescent="0.25">
      <c r="Q463" s="1"/>
    </row>
    <row r="464" spans="17:17" ht="20.100000000000001" customHeight="1" x14ac:dyDescent="0.25">
      <c r="Q464" s="1"/>
    </row>
    <row r="465" spans="17:17" ht="20.100000000000001" customHeight="1" x14ac:dyDescent="0.25">
      <c r="Q465" s="1"/>
    </row>
    <row r="466" spans="17:17" ht="20.100000000000001" customHeight="1" x14ac:dyDescent="0.25">
      <c r="Q466" s="1"/>
    </row>
    <row r="467" spans="17:17" ht="20.100000000000001" customHeight="1" x14ac:dyDescent="0.25">
      <c r="Q467" s="1"/>
    </row>
    <row r="468" spans="17:17" ht="20.100000000000001" customHeight="1" x14ac:dyDescent="0.25">
      <c r="Q468" s="1"/>
    </row>
    <row r="469" spans="17:17" ht="20.100000000000001" customHeight="1" x14ac:dyDescent="0.25">
      <c r="Q469" s="1"/>
    </row>
    <row r="470" spans="17:17" ht="20.100000000000001" customHeight="1" x14ac:dyDescent="0.25">
      <c r="Q470" s="1"/>
    </row>
    <row r="471" spans="17:17" ht="20.100000000000001" customHeight="1" x14ac:dyDescent="0.25">
      <c r="Q471" s="1"/>
    </row>
    <row r="472" spans="17:17" ht="20.100000000000001" customHeight="1" x14ac:dyDescent="0.25">
      <c r="Q472" s="1"/>
    </row>
    <row r="473" spans="17:17" ht="20.100000000000001" customHeight="1" x14ac:dyDescent="0.25">
      <c r="Q473" s="1"/>
    </row>
    <row r="474" spans="17:17" ht="20.100000000000001" customHeight="1" x14ac:dyDescent="0.25">
      <c r="Q474" s="1"/>
    </row>
    <row r="475" spans="17:17" ht="20.100000000000001" customHeight="1" x14ac:dyDescent="0.25">
      <c r="Q475" s="1"/>
    </row>
    <row r="476" spans="17:17" ht="20.100000000000001" customHeight="1" x14ac:dyDescent="0.25">
      <c r="Q476" s="1"/>
    </row>
    <row r="477" spans="17:17" ht="20.100000000000001" customHeight="1" x14ac:dyDescent="0.25">
      <c r="Q477" s="1"/>
    </row>
    <row r="478" spans="17:17" ht="20.100000000000001" customHeight="1" x14ac:dyDescent="0.25">
      <c r="Q478" s="1"/>
    </row>
    <row r="479" spans="17:17" ht="20.100000000000001" customHeight="1" x14ac:dyDescent="0.25">
      <c r="Q479" s="1"/>
    </row>
    <row r="480" spans="17:17" ht="20.100000000000001" customHeight="1" x14ac:dyDescent="0.25">
      <c r="Q480" s="1"/>
    </row>
    <row r="481" spans="17:17" ht="20.100000000000001" customHeight="1" x14ac:dyDescent="0.25">
      <c r="Q481" s="1"/>
    </row>
    <row r="482" spans="17:17" ht="20.100000000000001" customHeight="1" x14ac:dyDescent="0.25">
      <c r="Q482" s="1"/>
    </row>
    <row r="483" spans="17:17" ht="20.100000000000001" customHeight="1" x14ac:dyDescent="0.25">
      <c r="Q483" s="1"/>
    </row>
    <row r="484" spans="17:17" ht="20.100000000000001" customHeight="1" x14ac:dyDescent="0.25">
      <c r="Q484" s="1"/>
    </row>
    <row r="485" spans="17:17" ht="20.100000000000001" customHeight="1" x14ac:dyDescent="0.25">
      <c r="Q485" s="1"/>
    </row>
    <row r="486" spans="17:17" ht="20.100000000000001" customHeight="1" x14ac:dyDescent="0.25">
      <c r="Q486" s="1"/>
    </row>
    <row r="487" spans="17:17" ht="20.100000000000001" customHeight="1" x14ac:dyDescent="0.25">
      <c r="Q487" s="1"/>
    </row>
    <row r="488" spans="17:17" ht="20.100000000000001" customHeight="1" x14ac:dyDescent="0.25">
      <c r="Q488" s="1"/>
    </row>
    <row r="489" spans="17:17" ht="20.100000000000001" customHeight="1" x14ac:dyDescent="0.25">
      <c r="Q489" s="1"/>
    </row>
    <row r="490" spans="17:17" ht="20.100000000000001" customHeight="1" x14ac:dyDescent="0.25">
      <c r="Q490" s="1"/>
    </row>
    <row r="491" spans="17:17" ht="20.100000000000001" customHeight="1" x14ac:dyDescent="0.25">
      <c r="Q491" s="1"/>
    </row>
    <row r="492" spans="17:17" ht="20.100000000000001" customHeight="1" x14ac:dyDescent="0.25">
      <c r="Q492" s="1"/>
    </row>
    <row r="493" spans="17:17" ht="20.100000000000001" customHeight="1" x14ac:dyDescent="0.25">
      <c r="Q493" s="1"/>
    </row>
    <row r="494" spans="17:17" ht="20.100000000000001" customHeight="1" x14ac:dyDescent="0.25">
      <c r="Q494" s="1"/>
    </row>
    <row r="495" spans="17:17" ht="20.100000000000001" customHeight="1" x14ac:dyDescent="0.25">
      <c r="Q495" s="1"/>
    </row>
    <row r="496" spans="17:17" ht="20.100000000000001" customHeight="1" x14ac:dyDescent="0.25">
      <c r="Q496" s="1"/>
    </row>
    <row r="497" spans="17:17" ht="20.100000000000001" customHeight="1" x14ac:dyDescent="0.25">
      <c r="Q497" s="1"/>
    </row>
    <row r="498" spans="17:17" ht="20.100000000000001" customHeight="1" x14ac:dyDescent="0.25">
      <c r="Q498" s="1"/>
    </row>
    <row r="499" spans="17:17" ht="20.100000000000001" customHeight="1" x14ac:dyDescent="0.25">
      <c r="Q499" s="1"/>
    </row>
    <row r="500" spans="17:17" ht="20.100000000000001" customHeight="1" x14ac:dyDescent="0.25">
      <c r="Q500" s="1"/>
    </row>
    <row r="501" spans="17:17" ht="20.100000000000001" customHeight="1" x14ac:dyDescent="0.25">
      <c r="Q501" s="1"/>
    </row>
    <row r="502" spans="17:17" ht="20.100000000000001" customHeight="1" x14ac:dyDescent="0.25">
      <c r="Q502" s="1"/>
    </row>
    <row r="503" spans="17:17" ht="20.100000000000001" customHeight="1" x14ac:dyDescent="0.25">
      <c r="Q503" s="1"/>
    </row>
    <row r="504" spans="17:17" ht="20.100000000000001" customHeight="1" x14ac:dyDescent="0.25">
      <c r="Q504" s="1"/>
    </row>
    <row r="505" spans="17:17" ht="20.100000000000001" customHeight="1" x14ac:dyDescent="0.25">
      <c r="Q505" s="1"/>
    </row>
    <row r="506" spans="17:17" ht="20.100000000000001" customHeight="1" x14ac:dyDescent="0.25">
      <c r="Q506" s="1"/>
    </row>
    <row r="507" spans="17:17" ht="20.100000000000001" customHeight="1" x14ac:dyDescent="0.25">
      <c r="Q507" s="1"/>
    </row>
    <row r="508" spans="17:17" ht="20.100000000000001" customHeight="1" x14ac:dyDescent="0.25">
      <c r="Q508" s="1"/>
    </row>
    <row r="509" spans="17:17" ht="20.100000000000001" customHeight="1" x14ac:dyDescent="0.25">
      <c r="Q509" s="1"/>
    </row>
    <row r="510" spans="17:17" ht="20.100000000000001" customHeight="1" x14ac:dyDescent="0.25">
      <c r="Q510" s="1"/>
    </row>
    <row r="511" spans="17:17" ht="20.100000000000001" customHeight="1" x14ac:dyDescent="0.25">
      <c r="Q511" s="1"/>
    </row>
    <row r="512" spans="17:17" ht="20.100000000000001" customHeight="1" x14ac:dyDescent="0.25">
      <c r="Q512" s="1"/>
    </row>
    <row r="513" spans="17:17" ht="20.100000000000001" customHeight="1" x14ac:dyDescent="0.25">
      <c r="Q513" s="1"/>
    </row>
    <row r="514" spans="17:17" ht="20.100000000000001" customHeight="1" x14ac:dyDescent="0.25">
      <c r="Q514" s="1"/>
    </row>
    <row r="515" spans="17:17" ht="20.100000000000001" customHeight="1" x14ac:dyDescent="0.25">
      <c r="Q515" s="1"/>
    </row>
    <row r="516" spans="17:17" ht="20.100000000000001" customHeight="1" x14ac:dyDescent="0.25">
      <c r="Q516" s="1"/>
    </row>
    <row r="517" spans="17:17" ht="20.100000000000001" customHeight="1" x14ac:dyDescent="0.25">
      <c r="Q517" s="1"/>
    </row>
    <row r="518" spans="17:17" ht="20.100000000000001" customHeight="1" x14ac:dyDescent="0.25">
      <c r="Q518" s="1"/>
    </row>
    <row r="519" spans="17:17" ht="20.100000000000001" customHeight="1" x14ac:dyDescent="0.25">
      <c r="Q519" s="1"/>
    </row>
    <row r="520" spans="17:17" ht="20.100000000000001" customHeight="1" x14ac:dyDescent="0.25">
      <c r="Q520" s="1"/>
    </row>
    <row r="521" spans="17:17" ht="20.100000000000001" customHeight="1" x14ac:dyDescent="0.25">
      <c r="Q521" s="1"/>
    </row>
    <row r="522" spans="17:17" ht="20.100000000000001" customHeight="1" x14ac:dyDescent="0.25">
      <c r="Q522" s="1"/>
    </row>
    <row r="523" spans="17:17" ht="20.100000000000001" customHeight="1" x14ac:dyDescent="0.25">
      <c r="Q523" s="1"/>
    </row>
    <row r="524" spans="17:17" ht="20.100000000000001" customHeight="1" x14ac:dyDescent="0.25">
      <c r="Q524" s="1"/>
    </row>
    <row r="525" spans="17:17" ht="20.100000000000001" customHeight="1" x14ac:dyDescent="0.25">
      <c r="Q525" s="1"/>
    </row>
    <row r="526" spans="17:17" ht="20.100000000000001" customHeight="1" x14ac:dyDescent="0.25">
      <c r="Q526" s="1"/>
    </row>
    <row r="527" spans="17:17" ht="20.100000000000001" customHeight="1" x14ac:dyDescent="0.25">
      <c r="Q527" s="1"/>
    </row>
    <row r="528" spans="17:17" ht="20.100000000000001" customHeight="1" x14ac:dyDescent="0.25">
      <c r="Q528" s="1"/>
    </row>
    <row r="529" spans="17:17" ht="20.100000000000001" customHeight="1" x14ac:dyDescent="0.25">
      <c r="Q529" s="1"/>
    </row>
    <row r="530" spans="17:17" ht="20.100000000000001" customHeight="1" x14ac:dyDescent="0.25">
      <c r="Q530" s="1"/>
    </row>
    <row r="531" spans="17:17" ht="20.100000000000001" customHeight="1" x14ac:dyDescent="0.25">
      <c r="Q531" s="1"/>
    </row>
    <row r="532" spans="17:17" ht="20.100000000000001" customHeight="1" x14ac:dyDescent="0.25">
      <c r="Q532" s="1"/>
    </row>
    <row r="533" spans="17:17" ht="20.100000000000001" customHeight="1" x14ac:dyDescent="0.25">
      <c r="Q533" s="1"/>
    </row>
    <row r="534" spans="17:17" ht="20.100000000000001" customHeight="1" x14ac:dyDescent="0.25">
      <c r="Q534" s="1"/>
    </row>
    <row r="535" spans="17:17" ht="20.100000000000001" customHeight="1" x14ac:dyDescent="0.25">
      <c r="Q535" s="1"/>
    </row>
    <row r="536" spans="17:17" ht="20.100000000000001" customHeight="1" x14ac:dyDescent="0.25">
      <c r="Q536" s="1"/>
    </row>
    <row r="537" spans="17:17" ht="20.100000000000001" customHeight="1" x14ac:dyDescent="0.25">
      <c r="Q537" s="1"/>
    </row>
    <row r="538" spans="17:17" ht="20.100000000000001" customHeight="1" x14ac:dyDescent="0.25">
      <c r="Q538" s="1"/>
    </row>
    <row r="539" spans="17:17" ht="20.100000000000001" customHeight="1" x14ac:dyDescent="0.25">
      <c r="Q539" s="1"/>
    </row>
    <row r="540" spans="17:17" ht="20.100000000000001" customHeight="1" x14ac:dyDescent="0.25">
      <c r="Q540" s="1"/>
    </row>
    <row r="541" spans="17:17" ht="20.100000000000001" customHeight="1" x14ac:dyDescent="0.25">
      <c r="Q541" s="1"/>
    </row>
    <row r="542" spans="17:17" ht="20.100000000000001" customHeight="1" x14ac:dyDescent="0.25">
      <c r="Q542" s="1"/>
    </row>
    <row r="543" spans="17:17" ht="20.100000000000001" customHeight="1" x14ac:dyDescent="0.25">
      <c r="Q543" s="1"/>
    </row>
    <row r="544" spans="17:17" ht="20.100000000000001" customHeight="1" x14ac:dyDescent="0.25">
      <c r="Q544" s="1"/>
    </row>
    <row r="545" spans="17:17" ht="20.100000000000001" customHeight="1" x14ac:dyDescent="0.25">
      <c r="Q545" s="1"/>
    </row>
    <row r="546" spans="17:17" ht="20.100000000000001" customHeight="1" x14ac:dyDescent="0.25">
      <c r="Q546" s="1"/>
    </row>
    <row r="547" spans="17:17" ht="20.100000000000001" customHeight="1" x14ac:dyDescent="0.25">
      <c r="Q547" s="1"/>
    </row>
    <row r="548" spans="17:17" ht="20.100000000000001" customHeight="1" x14ac:dyDescent="0.25">
      <c r="Q548" s="1"/>
    </row>
    <row r="549" spans="17:17" ht="20.100000000000001" customHeight="1" x14ac:dyDescent="0.25">
      <c r="Q549" s="1"/>
    </row>
    <row r="550" spans="17:17" ht="20.100000000000001" customHeight="1" x14ac:dyDescent="0.25">
      <c r="Q550" s="1"/>
    </row>
    <row r="551" spans="17:17" ht="20.100000000000001" customHeight="1" x14ac:dyDescent="0.25">
      <c r="Q551" s="1"/>
    </row>
    <row r="552" spans="17:17" ht="20.100000000000001" customHeight="1" x14ac:dyDescent="0.25">
      <c r="Q552" s="1"/>
    </row>
    <row r="553" spans="17:17" ht="20.100000000000001" customHeight="1" x14ac:dyDescent="0.25">
      <c r="Q553" s="1"/>
    </row>
    <row r="554" spans="17:17" ht="20.100000000000001" customHeight="1" x14ac:dyDescent="0.25">
      <c r="Q554" s="1"/>
    </row>
    <row r="555" spans="17:17" ht="20.100000000000001" customHeight="1" x14ac:dyDescent="0.25">
      <c r="Q555" s="1"/>
    </row>
    <row r="556" spans="17:17" ht="20.100000000000001" customHeight="1" x14ac:dyDescent="0.25">
      <c r="Q556" s="1"/>
    </row>
    <row r="557" spans="17:17" ht="20.100000000000001" customHeight="1" x14ac:dyDescent="0.25">
      <c r="Q557" s="1"/>
    </row>
    <row r="558" spans="17:17" ht="20.100000000000001" customHeight="1" x14ac:dyDescent="0.25">
      <c r="Q558" s="1"/>
    </row>
    <row r="559" spans="17:17" ht="20.100000000000001" customHeight="1" x14ac:dyDescent="0.25">
      <c r="Q559" s="1"/>
    </row>
    <row r="560" spans="17:17" ht="20.100000000000001" customHeight="1" x14ac:dyDescent="0.25">
      <c r="Q560" s="1"/>
    </row>
    <row r="561" spans="17:17" ht="20.100000000000001" customHeight="1" x14ac:dyDescent="0.25">
      <c r="Q561" s="1"/>
    </row>
    <row r="562" spans="17:17" ht="20.100000000000001" customHeight="1" x14ac:dyDescent="0.25">
      <c r="Q562" s="1"/>
    </row>
    <row r="563" spans="17:17" ht="20.100000000000001" customHeight="1" x14ac:dyDescent="0.25">
      <c r="Q563" s="1"/>
    </row>
    <row r="564" spans="17:17" ht="20.100000000000001" customHeight="1" x14ac:dyDescent="0.25">
      <c r="Q564" s="1"/>
    </row>
    <row r="565" spans="17:17" ht="20.100000000000001" customHeight="1" x14ac:dyDescent="0.25">
      <c r="Q565" s="1"/>
    </row>
    <row r="566" spans="17:17" ht="20.100000000000001" customHeight="1" x14ac:dyDescent="0.25">
      <c r="Q566" s="1"/>
    </row>
    <row r="567" spans="17:17" ht="20.100000000000001" customHeight="1" x14ac:dyDescent="0.25">
      <c r="Q567" s="1"/>
    </row>
    <row r="568" spans="17:17" ht="20.100000000000001" customHeight="1" x14ac:dyDescent="0.25">
      <c r="Q568" s="1"/>
    </row>
    <row r="569" spans="17:17" ht="20.100000000000001" customHeight="1" x14ac:dyDescent="0.25">
      <c r="Q569" s="1"/>
    </row>
    <row r="570" spans="17:17" ht="20.100000000000001" customHeight="1" x14ac:dyDescent="0.25">
      <c r="Q570" s="1"/>
    </row>
    <row r="571" spans="17:17" ht="20.100000000000001" customHeight="1" x14ac:dyDescent="0.25">
      <c r="Q571" s="1"/>
    </row>
    <row r="572" spans="17:17" ht="20.100000000000001" customHeight="1" x14ac:dyDescent="0.25">
      <c r="Q572" s="1"/>
    </row>
    <row r="573" spans="17:17" ht="20.100000000000001" customHeight="1" x14ac:dyDescent="0.25">
      <c r="Q573" s="1"/>
    </row>
    <row r="574" spans="17:17" ht="20.100000000000001" customHeight="1" x14ac:dyDescent="0.25">
      <c r="Q574" s="1"/>
    </row>
    <row r="575" spans="17:17" ht="20.100000000000001" customHeight="1" x14ac:dyDescent="0.25">
      <c r="Q575" s="1"/>
    </row>
    <row r="576" spans="17:17" ht="20.100000000000001" customHeight="1" x14ac:dyDescent="0.25">
      <c r="Q576" s="1"/>
    </row>
    <row r="577" spans="17:17" ht="20.100000000000001" customHeight="1" x14ac:dyDescent="0.25">
      <c r="Q577" s="1"/>
    </row>
    <row r="578" spans="17:17" ht="20.100000000000001" customHeight="1" x14ac:dyDescent="0.25">
      <c r="Q578" s="1"/>
    </row>
    <row r="579" spans="17:17" ht="20.100000000000001" customHeight="1" x14ac:dyDescent="0.25">
      <c r="Q579" s="1"/>
    </row>
    <row r="580" spans="17:17" ht="20.100000000000001" customHeight="1" x14ac:dyDescent="0.25">
      <c r="Q580" s="1"/>
    </row>
    <row r="581" spans="17:17" ht="20.100000000000001" customHeight="1" x14ac:dyDescent="0.25">
      <c r="Q581" s="1"/>
    </row>
    <row r="582" spans="17:17" ht="20.100000000000001" customHeight="1" x14ac:dyDescent="0.25">
      <c r="Q582" s="1"/>
    </row>
    <row r="583" spans="17:17" ht="20.100000000000001" customHeight="1" x14ac:dyDescent="0.25">
      <c r="Q583" s="1"/>
    </row>
    <row r="584" spans="17:17" ht="20.100000000000001" customHeight="1" x14ac:dyDescent="0.25">
      <c r="Q584" s="1"/>
    </row>
    <row r="585" spans="17:17" ht="20.100000000000001" customHeight="1" x14ac:dyDescent="0.25">
      <c r="Q585" s="1"/>
    </row>
    <row r="586" spans="17:17" ht="20.100000000000001" customHeight="1" x14ac:dyDescent="0.25">
      <c r="Q586" s="1"/>
    </row>
    <row r="587" spans="17:17" ht="20.100000000000001" customHeight="1" x14ac:dyDescent="0.25">
      <c r="Q587" s="1"/>
    </row>
    <row r="588" spans="17:17" ht="20.100000000000001" customHeight="1" x14ac:dyDescent="0.25">
      <c r="Q588" s="1"/>
    </row>
    <row r="589" spans="17:17" ht="20.100000000000001" customHeight="1" x14ac:dyDescent="0.25">
      <c r="Q589" s="1"/>
    </row>
    <row r="590" spans="17:17" ht="20.100000000000001" customHeight="1" x14ac:dyDescent="0.25">
      <c r="Q590" s="1"/>
    </row>
    <row r="591" spans="17:17" ht="20.100000000000001" customHeight="1" x14ac:dyDescent="0.25">
      <c r="Q591" s="1"/>
    </row>
    <row r="592" spans="17:17" ht="20.100000000000001" customHeight="1" x14ac:dyDescent="0.25">
      <c r="Q592" s="1"/>
    </row>
    <row r="593" spans="17:17" ht="20.100000000000001" customHeight="1" x14ac:dyDescent="0.25">
      <c r="Q593" s="1"/>
    </row>
    <row r="594" spans="17:17" ht="20.100000000000001" customHeight="1" x14ac:dyDescent="0.25">
      <c r="Q594" s="1"/>
    </row>
    <row r="595" spans="17:17" ht="20.100000000000001" customHeight="1" x14ac:dyDescent="0.25">
      <c r="Q595" s="1"/>
    </row>
    <row r="596" spans="17:17" ht="20.100000000000001" customHeight="1" x14ac:dyDescent="0.25">
      <c r="Q596" s="1"/>
    </row>
    <row r="597" spans="17:17" ht="20.100000000000001" customHeight="1" x14ac:dyDescent="0.25">
      <c r="Q597" s="1"/>
    </row>
    <row r="598" spans="17:17" ht="20.100000000000001" customHeight="1" x14ac:dyDescent="0.25">
      <c r="Q598" s="1"/>
    </row>
    <row r="599" spans="17:17" ht="20.100000000000001" customHeight="1" x14ac:dyDescent="0.25">
      <c r="Q599" s="1"/>
    </row>
    <row r="600" spans="17:17" ht="20.100000000000001" customHeight="1" x14ac:dyDescent="0.25">
      <c r="Q600" s="1"/>
    </row>
    <row r="601" spans="17:17" ht="20.100000000000001" customHeight="1" x14ac:dyDescent="0.25">
      <c r="Q601" s="1"/>
    </row>
    <row r="602" spans="17:17" ht="20.100000000000001" customHeight="1" x14ac:dyDescent="0.25">
      <c r="Q602" s="1"/>
    </row>
    <row r="603" spans="17:17" ht="20.100000000000001" customHeight="1" x14ac:dyDescent="0.25">
      <c r="Q603" s="1"/>
    </row>
    <row r="604" spans="17:17" ht="20.100000000000001" customHeight="1" x14ac:dyDescent="0.25">
      <c r="Q604" s="1"/>
    </row>
    <row r="605" spans="17:17" ht="20.100000000000001" customHeight="1" x14ac:dyDescent="0.25">
      <c r="Q605" s="1"/>
    </row>
    <row r="606" spans="17:17" ht="20.100000000000001" customHeight="1" x14ac:dyDescent="0.25">
      <c r="Q606" s="1"/>
    </row>
    <row r="607" spans="17:17" ht="20.100000000000001" customHeight="1" x14ac:dyDescent="0.25">
      <c r="Q607" s="1"/>
    </row>
    <row r="608" spans="17:17" ht="20.100000000000001" customHeight="1" x14ac:dyDescent="0.25">
      <c r="Q608" s="1"/>
    </row>
    <row r="609" spans="17:17" ht="20.100000000000001" customHeight="1" x14ac:dyDescent="0.25">
      <c r="Q609" s="1"/>
    </row>
    <row r="610" spans="17:17" ht="20.100000000000001" customHeight="1" x14ac:dyDescent="0.25">
      <c r="Q610" s="1"/>
    </row>
    <row r="611" spans="17:17" ht="20.100000000000001" customHeight="1" x14ac:dyDescent="0.25">
      <c r="Q611" s="1"/>
    </row>
    <row r="612" spans="17:17" ht="20.100000000000001" customHeight="1" x14ac:dyDescent="0.25">
      <c r="Q612" s="1"/>
    </row>
    <row r="613" spans="17:17" ht="20.100000000000001" customHeight="1" x14ac:dyDescent="0.25">
      <c r="Q613" s="1"/>
    </row>
    <row r="614" spans="17:17" ht="20.100000000000001" customHeight="1" x14ac:dyDescent="0.25">
      <c r="Q614" s="1"/>
    </row>
    <row r="615" spans="17:17" ht="20.100000000000001" customHeight="1" x14ac:dyDescent="0.25">
      <c r="Q615" s="1"/>
    </row>
    <row r="616" spans="17:17" ht="20.100000000000001" customHeight="1" x14ac:dyDescent="0.25">
      <c r="Q616" s="1"/>
    </row>
    <row r="617" spans="17:17" ht="20.100000000000001" customHeight="1" x14ac:dyDescent="0.25">
      <c r="Q617" s="1"/>
    </row>
    <row r="618" spans="17:17" ht="20.100000000000001" customHeight="1" x14ac:dyDescent="0.25">
      <c r="Q618" s="1"/>
    </row>
    <row r="619" spans="17:17" ht="20.100000000000001" customHeight="1" x14ac:dyDescent="0.25">
      <c r="Q619" s="1"/>
    </row>
    <row r="620" spans="17:17" ht="20.100000000000001" customHeight="1" x14ac:dyDescent="0.25">
      <c r="Q620" s="1"/>
    </row>
    <row r="621" spans="17:17" ht="20.100000000000001" customHeight="1" x14ac:dyDescent="0.25">
      <c r="Q621" s="1"/>
    </row>
    <row r="622" spans="17:17" ht="20.100000000000001" customHeight="1" x14ac:dyDescent="0.25">
      <c r="Q622" s="1"/>
    </row>
    <row r="623" spans="17:17" ht="20.100000000000001" customHeight="1" x14ac:dyDescent="0.25">
      <c r="Q623" s="1"/>
    </row>
    <row r="624" spans="17:17" ht="20.100000000000001" customHeight="1" x14ac:dyDescent="0.25">
      <c r="Q624" s="1"/>
    </row>
    <row r="625" spans="17:17" ht="20.100000000000001" customHeight="1" x14ac:dyDescent="0.25">
      <c r="Q625" s="1"/>
    </row>
    <row r="626" spans="17:17" ht="20.100000000000001" customHeight="1" x14ac:dyDescent="0.25">
      <c r="Q626" s="1"/>
    </row>
    <row r="627" spans="17:17" ht="20.100000000000001" customHeight="1" x14ac:dyDescent="0.25">
      <c r="Q627" s="1"/>
    </row>
    <row r="628" spans="17:17" ht="20.100000000000001" customHeight="1" x14ac:dyDescent="0.25">
      <c r="Q628" s="1"/>
    </row>
    <row r="629" spans="17:17" ht="20.100000000000001" customHeight="1" x14ac:dyDescent="0.25">
      <c r="Q629" s="1"/>
    </row>
    <row r="630" spans="17:17" ht="20.100000000000001" customHeight="1" x14ac:dyDescent="0.25">
      <c r="Q630" s="1"/>
    </row>
    <row r="631" spans="17:17" ht="20.100000000000001" customHeight="1" x14ac:dyDescent="0.25">
      <c r="Q631" s="1"/>
    </row>
    <row r="632" spans="17:17" ht="20.100000000000001" customHeight="1" x14ac:dyDescent="0.25">
      <c r="Q632" s="1"/>
    </row>
    <row r="633" spans="17:17" ht="20.100000000000001" customHeight="1" x14ac:dyDescent="0.25">
      <c r="Q633" s="1"/>
    </row>
    <row r="634" spans="17:17" ht="20.100000000000001" customHeight="1" x14ac:dyDescent="0.25">
      <c r="Q634" s="1"/>
    </row>
    <row r="635" spans="17:17" ht="20.100000000000001" customHeight="1" x14ac:dyDescent="0.25">
      <c r="Q635" s="1"/>
    </row>
    <row r="636" spans="17:17" ht="20.100000000000001" customHeight="1" x14ac:dyDescent="0.25">
      <c r="Q636" s="1"/>
    </row>
    <row r="637" spans="17:17" ht="20.100000000000001" customHeight="1" x14ac:dyDescent="0.25">
      <c r="Q637" s="1"/>
    </row>
    <row r="638" spans="17:17" ht="20.100000000000001" customHeight="1" x14ac:dyDescent="0.25">
      <c r="Q638" s="1"/>
    </row>
    <row r="639" spans="17:17" ht="20.100000000000001" customHeight="1" x14ac:dyDescent="0.25">
      <c r="Q639" s="1"/>
    </row>
    <row r="640" spans="17:17" ht="20.100000000000001" customHeight="1" x14ac:dyDescent="0.25">
      <c r="Q640" s="1"/>
    </row>
    <row r="641" spans="17:17" ht="20.100000000000001" customHeight="1" x14ac:dyDescent="0.25">
      <c r="Q641" s="1"/>
    </row>
    <row r="642" spans="17:17" ht="20.100000000000001" customHeight="1" x14ac:dyDescent="0.25">
      <c r="Q642" s="1"/>
    </row>
    <row r="643" spans="17:17" ht="20.100000000000001" customHeight="1" x14ac:dyDescent="0.25">
      <c r="Q643" s="1"/>
    </row>
    <row r="644" spans="17:17" ht="20.100000000000001" customHeight="1" x14ac:dyDescent="0.25">
      <c r="Q644" s="1"/>
    </row>
    <row r="645" spans="17:17" ht="20.100000000000001" customHeight="1" x14ac:dyDescent="0.25">
      <c r="Q645" s="1"/>
    </row>
    <row r="646" spans="17:17" ht="20.100000000000001" customHeight="1" x14ac:dyDescent="0.25">
      <c r="Q646" s="1"/>
    </row>
    <row r="647" spans="17:17" ht="20.100000000000001" customHeight="1" x14ac:dyDescent="0.25">
      <c r="Q647" s="1"/>
    </row>
    <row r="648" spans="17:17" ht="20.100000000000001" customHeight="1" x14ac:dyDescent="0.25">
      <c r="Q648" s="1"/>
    </row>
    <row r="649" spans="17:17" ht="20.100000000000001" customHeight="1" x14ac:dyDescent="0.25">
      <c r="Q649" s="1"/>
    </row>
    <row r="650" spans="17:17" ht="20.100000000000001" customHeight="1" x14ac:dyDescent="0.25">
      <c r="Q650" s="1"/>
    </row>
    <row r="651" spans="17:17" ht="20.100000000000001" customHeight="1" x14ac:dyDescent="0.25">
      <c r="Q651" s="1"/>
    </row>
    <row r="652" spans="17:17" ht="20.100000000000001" customHeight="1" x14ac:dyDescent="0.25">
      <c r="Q652" s="1"/>
    </row>
    <row r="653" spans="17:17" ht="20.100000000000001" customHeight="1" x14ac:dyDescent="0.25">
      <c r="Q653" s="1"/>
    </row>
    <row r="654" spans="17:17" ht="20.100000000000001" customHeight="1" x14ac:dyDescent="0.25">
      <c r="Q654" s="1"/>
    </row>
    <row r="655" spans="17:17" ht="20.100000000000001" customHeight="1" x14ac:dyDescent="0.25">
      <c r="Q655" s="1"/>
    </row>
    <row r="656" spans="17:17" ht="20.100000000000001" customHeight="1" x14ac:dyDescent="0.25">
      <c r="Q656" s="1"/>
    </row>
    <row r="657" spans="17:17" ht="20.100000000000001" customHeight="1" x14ac:dyDescent="0.25">
      <c r="Q657" s="1"/>
    </row>
    <row r="658" spans="17:17" ht="20.100000000000001" customHeight="1" x14ac:dyDescent="0.25">
      <c r="Q658" s="1"/>
    </row>
    <row r="659" spans="17:17" ht="20.100000000000001" customHeight="1" x14ac:dyDescent="0.25">
      <c r="Q659" s="1"/>
    </row>
    <row r="660" spans="17:17" ht="20.100000000000001" customHeight="1" x14ac:dyDescent="0.25">
      <c r="Q660" s="1"/>
    </row>
    <row r="661" spans="17:17" ht="20.100000000000001" customHeight="1" x14ac:dyDescent="0.25">
      <c r="Q661" s="1"/>
    </row>
    <row r="662" spans="17:17" ht="20.100000000000001" customHeight="1" x14ac:dyDescent="0.25">
      <c r="Q662" s="1"/>
    </row>
    <row r="663" spans="17:17" ht="20.100000000000001" customHeight="1" x14ac:dyDescent="0.25">
      <c r="Q663" s="1"/>
    </row>
    <row r="664" spans="17:17" ht="20.100000000000001" customHeight="1" x14ac:dyDescent="0.25">
      <c r="Q664" s="1"/>
    </row>
    <row r="665" spans="17:17" ht="20.100000000000001" customHeight="1" x14ac:dyDescent="0.25">
      <c r="Q665" s="1"/>
    </row>
    <row r="666" spans="17:17" ht="20.100000000000001" customHeight="1" x14ac:dyDescent="0.25">
      <c r="Q666" s="1"/>
    </row>
    <row r="667" spans="17:17" ht="20.100000000000001" customHeight="1" x14ac:dyDescent="0.25">
      <c r="Q667" s="1"/>
    </row>
    <row r="668" spans="17:17" ht="20.100000000000001" customHeight="1" x14ac:dyDescent="0.25">
      <c r="Q668" s="1"/>
    </row>
    <row r="669" spans="17:17" ht="20.100000000000001" customHeight="1" x14ac:dyDescent="0.25">
      <c r="Q669" s="1"/>
    </row>
    <row r="670" spans="17:17" ht="20.100000000000001" customHeight="1" x14ac:dyDescent="0.25">
      <c r="Q670" s="1"/>
    </row>
    <row r="671" spans="17:17" ht="20.100000000000001" customHeight="1" x14ac:dyDescent="0.25">
      <c r="Q671" s="1"/>
    </row>
    <row r="672" spans="17:17" ht="20.100000000000001" customHeight="1" x14ac:dyDescent="0.25">
      <c r="Q672" s="1"/>
    </row>
    <row r="673" spans="17:17" ht="20.100000000000001" customHeight="1" x14ac:dyDescent="0.25">
      <c r="Q673" s="1"/>
    </row>
    <row r="674" spans="17:17" ht="20.100000000000001" customHeight="1" x14ac:dyDescent="0.25">
      <c r="Q674" s="1"/>
    </row>
    <row r="675" spans="17:17" ht="20.100000000000001" customHeight="1" x14ac:dyDescent="0.25">
      <c r="Q675" s="1"/>
    </row>
    <row r="676" spans="17:17" ht="20.100000000000001" customHeight="1" x14ac:dyDescent="0.25">
      <c r="Q676" s="1"/>
    </row>
    <row r="677" spans="17:17" ht="20.100000000000001" customHeight="1" x14ac:dyDescent="0.25">
      <c r="Q677" s="1"/>
    </row>
    <row r="678" spans="17:17" ht="20.100000000000001" customHeight="1" x14ac:dyDescent="0.25">
      <c r="Q678" s="1"/>
    </row>
    <row r="679" spans="17:17" ht="20.100000000000001" customHeight="1" x14ac:dyDescent="0.25">
      <c r="Q679" s="1"/>
    </row>
    <row r="680" spans="17:17" ht="20.100000000000001" customHeight="1" x14ac:dyDescent="0.25">
      <c r="Q680" s="1"/>
    </row>
    <row r="681" spans="17:17" ht="20.100000000000001" customHeight="1" x14ac:dyDescent="0.25">
      <c r="Q681" s="1"/>
    </row>
    <row r="682" spans="17:17" ht="20.100000000000001" customHeight="1" x14ac:dyDescent="0.25">
      <c r="Q682" s="1"/>
    </row>
    <row r="683" spans="17:17" ht="20.100000000000001" customHeight="1" x14ac:dyDescent="0.25">
      <c r="Q683" s="1"/>
    </row>
    <row r="684" spans="17:17" ht="20.100000000000001" customHeight="1" x14ac:dyDescent="0.25">
      <c r="Q684" s="1"/>
    </row>
    <row r="685" spans="17:17" ht="20.100000000000001" customHeight="1" x14ac:dyDescent="0.25">
      <c r="Q685" s="1"/>
    </row>
    <row r="686" spans="17:17" ht="20.100000000000001" customHeight="1" x14ac:dyDescent="0.25">
      <c r="Q686" s="1"/>
    </row>
    <row r="687" spans="17:17" ht="20.100000000000001" customHeight="1" x14ac:dyDescent="0.25">
      <c r="Q687" s="1"/>
    </row>
    <row r="688" spans="17:17" ht="20.100000000000001" customHeight="1" x14ac:dyDescent="0.25">
      <c r="Q688" s="1"/>
    </row>
    <row r="689" spans="17:17" ht="20.100000000000001" customHeight="1" x14ac:dyDescent="0.25">
      <c r="Q689" s="1"/>
    </row>
    <row r="690" spans="17:17" ht="20.100000000000001" customHeight="1" x14ac:dyDescent="0.25">
      <c r="Q690" s="1"/>
    </row>
    <row r="691" spans="17:17" ht="20.100000000000001" customHeight="1" x14ac:dyDescent="0.25">
      <c r="Q691" s="1"/>
    </row>
    <row r="692" spans="17:17" ht="20.100000000000001" customHeight="1" x14ac:dyDescent="0.25">
      <c r="Q692" s="1"/>
    </row>
    <row r="693" spans="17:17" ht="20.100000000000001" customHeight="1" x14ac:dyDescent="0.25">
      <c r="Q693" s="1"/>
    </row>
    <row r="694" spans="17:17" ht="20.100000000000001" customHeight="1" x14ac:dyDescent="0.25">
      <c r="Q694" s="1"/>
    </row>
    <row r="695" spans="17:17" ht="20.100000000000001" customHeight="1" x14ac:dyDescent="0.25">
      <c r="Q695" s="1"/>
    </row>
    <row r="696" spans="17:17" ht="20.100000000000001" customHeight="1" x14ac:dyDescent="0.25">
      <c r="Q696" s="1"/>
    </row>
    <row r="697" spans="17:17" ht="20.100000000000001" customHeight="1" x14ac:dyDescent="0.25">
      <c r="Q697" s="1"/>
    </row>
    <row r="698" spans="17:17" ht="20.100000000000001" customHeight="1" x14ac:dyDescent="0.25">
      <c r="Q698" s="1"/>
    </row>
    <row r="699" spans="17:17" ht="20.100000000000001" customHeight="1" x14ac:dyDescent="0.25">
      <c r="Q699" s="1"/>
    </row>
    <row r="700" spans="17:17" ht="20.100000000000001" customHeight="1" x14ac:dyDescent="0.25">
      <c r="Q700" s="1"/>
    </row>
    <row r="701" spans="17:17" ht="20.100000000000001" customHeight="1" x14ac:dyDescent="0.25">
      <c r="Q701" s="1"/>
    </row>
    <row r="702" spans="17:17" ht="20.100000000000001" customHeight="1" x14ac:dyDescent="0.25">
      <c r="Q702" s="1"/>
    </row>
    <row r="703" spans="17:17" ht="20.100000000000001" customHeight="1" x14ac:dyDescent="0.25">
      <c r="Q703" s="1"/>
    </row>
    <row r="704" spans="17:17" ht="20.100000000000001" customHeight="1" x14ac:dyDescent="0.25">
      <c r="Q704" s="1"/>
    </row>
    <row r="705" spans="17:17" ht="20.100000000000001" customHeight="1" x14ac:dyDescent="0.25">
      <c r="Q705" s="1"/>
    </row>
    <row r="706" spans="17:17" ht="20.100000000000001" customHeight="1" x14ac:dyDescent="0.25">
      <c r="Q706" s="1"/>
    </row>
    <row r="707" spans="17:17" ht="20.100000000000001" customHeight="1" x14ac:dyDescent="0.25">
      <c r="Q707" s="1"/>
    </row>
    <row r="708" spans="17:17" ht="20.100000000000001" customHeight="1" x14ac:dyDescent="0.25">
      <c r="Q708" s="1"/>
    </row>
    <row r="709" spans="17:17" ht="20.100000000000001" customHeight="1" x14ac:dyDescent="0.25">
      <c r="Q709" s="1"/>
    </row>
    <row r="710" spans="17:17" ht="20.100000000000001" customHeight="1" x14ac:dyDescent="0.25">
      <c r="Q710" s="1"/>
    </row>
    <row r="711" spans="17:17" ht="20.100000000000001" customHeight="1" x14ac:dyDescent="0.25">
      <c r="Q711" s="1"/>
    </row>
    <row r="712" spans="17:17" ht="20.100000000000001" customHeight="1" x14ac:dyDescent="0.25">
      <c r="Q712" s="1"/>
    </row>
    <row r="713" spans="17:17" ht="20.100000000000001" customHeight="1" x14ac:dyDescent="0.25">
      <c r="Q713" s="1"/>
    </row>
    <row r="714" spans="17:17" ht="20.100000000000001" customHeight="1" x14ac:dyDescent="0.25">
      <c r="Q714" s="1"/>
    </row>
    <row r="715" spans="17:17" ht="20.100000000000001" customHeight="1" x14ac:dyDescent="0.25">
      <c r="Q715" s="1"/>
    </row>
    <row r="716" spans="17:17" ht="20.100000000000001" customHeight="1" x14ac:dyDescent="0.25">
      <c r="Q716" s="1"/>
    </row>
    <row r="717" spans="17:17" ht="20.100000000000001" customHeight="1" x14ac:dyDescent="0.25">
      <c r="Q717" s="1"/>
    </row>
    <row r="718" spans="17:17" ht="20.100000000000001" customHeight="1" x14ac:dyDescent="0.25">
      <c r="Q718" s="1"/>
    </row>
    <row r="719" spans="17:17" ht="20.100000000000001" customHeight="1" x14ac:dyDescent="0.25">
      <c r="Q719" s="1"/>
    </row>
    <row r="720" spans="17:17" ht="20.100000000000001" customHeight="1" x14ac:dyDescent="0.25">
      <c r="Q720" s="1"/>
    </row>
    <row r="721" spans="17:17" ht="20.100000000000001" customHeight="1" x14ac:dyDescent="0.25">
      <c r="Q721" s="1"/>
    </row>
    <row r="722" spans="17:17" ht="20.100000000000001" customHeight="1" x14ac:dyDescent="0.25">
      <c r="Q722" s="1"/>
    </row>
    <row r="723" spans="17:17" ht="20.100000000000001" customHeight="1" x14ac:dyDescent="0.25">
      <c r="Q723" s="1"/>
    </row>
    <row r="724" spans="17:17" ht="20.100000000000001" customHeight="1" x14ac:dyDescent="0.25">
      <c r="Q724" s="1"/>
    </row>
    <row r="725" spans="17:17" ht="20.100000000000001" customHeight="1" x14ac:dyDescent="0.25">
      <c r="Q725" s="1"/>
    </row>
    <row r="726" spans="17:17" ht="20.100000000000001" customHeight="1" x14ac:dyDescent="0.25">
      <c r="Q726" s="1"/>
    </row>
    <row r="727" spans="17:17" ht="20.100000000000001" customHeight="1" x14ac:dyDescent="0.25">
      <c r="Q727" s="1"/>
    </row>
    <row r="728" spans="17:17" ht="20.100000000000001" customHeight="1" x14ac:dyDescent="0.25">
      <c r="Q728" s="1"/>
    </row>
    <row r="729" spans="17:17" ht="20.100000000000001" customHeight="1" x14ac:dyDescent="0.25">
      <c r="Q729" s="1"/>
    </row>
    <row r="730" spans="17:17" ht="20.100000000000001" customHeight="1" x14ac:dyDescent="0.25">
      <c r="Q730" s="1"/>
    </row>
    <row r="731" spans="17:17" ht="20.100000000000001" customHeight="1" x14ac:dyDescent="0.25">
      <c r="Q731" s="1"/>
    </row>
    <row r="732" spans="17:17" ht="20.100000000000001" customHeight="1" x14ac:dyDescent="0.25">
      <c r="Q732" s="1"/>
    </row>
    <row r="733" spans="17:17" ht="20.100000000000001" customHeight="1" x14ac:dyDescent="0.25">
      <c r="Q733" s="1"/>
    </row>
    <row r="734" spans="17:17" ht="20.100000000000001" customHeight="1" x14ac:dyDescent="0.25">
      <c r="Q734" s="1"/>
    </row>
    <row r="735" spans="17:17" ht="20.100000000000001" customHeight="1" x14ac:dyDescent="0.25">
      <c r="Q735" s="1"/>
    </row>
    <row r="736" spans="17:17" ht="20.100000000000001" customHeight="1" x14ac:dyDescent="0.25">
      <c r="Q736" s="1"/>
    </row>
    <row r="737" spans="17:17" ht="20.100000000000001" customHeight="1" x14ac:dyDescent="0.25">
      <c r="Q737" s="1"/>
    </row>
    <row r="738" spans="17:17" ht="20.100000000000001" customHeight="1" x14ac:dyDescent="0.25">
      <c r="Q738" s="1"/>
    </row>
    <row r="739" spans="17:17" ht="20.100000000000001" customHeight="1" x14ac:dyDescent="0.25">
      <c r="Q739" s="1"/>
    </row>
    <row r="740" spans="17:17" ht="20.100000000000001" customHeight="1" x14ac:dyDescent="0.25">
      <c r="Q740" s="1"/>
    </row>
    <row r="741" spans="17:17" ht="20.100000000000001" customHeight="1" x14ac:dyDescent="0.25">
      <c r="Q741" s="1"/>
    </row>
    <row r="742" spans="17:17" ht="20.100000000000001" customHeight="1" x14ac:dyDescent="0.25">
      <c r="Q742" s="1"/>
    </row>
    <row r="743" spans="17:17" ht="20.100000000000001" customHeight="1" x14ac:dyDescent="0.25">
      <c r="Q743" s="1"/>
    </row>
    <row r="744" spans="17:17" ht="20.100000000000001" customHeight="1" x14ac:dyDescent="0.25">
      <c r="Q744" s="1"/>
    </row>
    <row r="745" spans="17:17" ht="20.100000000000001" customHeight="1" x14ac:dyDescent="0.25">
      <c r="Q745" s="1"/>
    </row>
    <row r="746" spans="17:17" ht="20.100000000000001" customHeight="1" x14ac:dyDescent="0.25">
      <c r="Q746" s="1"/>
    </row>
    <row r="747" spans="17:17" ht="20.100000000000001" customHeight="1" x14ac:dyDescent="0.25">
      <c r="Q747" s="1"/>
    </row>
    <row r="748" spans="17:17" ht="20.100000000000001" customHeight="1" x14ac:dyDescent="0.25">
      <c r="Q748" s="1"/>
    </row>
    <row r="749" spans="17:17" ht="20.100000000000001" customHeight="1" x14ac:dyDescent="0.25">
      <c r="Q749" s="1"/>
    </row>
    <row r="750" spans="17:17" ht="20.100000000000001" customHeight="1" x14ac:dyDescent="0.25">
      <c r="Q750" s="1"/>
    </row>
    <row r="751" spans="17:17" ht="20.100000000000001" customHeight="1" x14ac:dyDescent="0.25">
      <c r="Q751" s="1"/>
    </row>
    <row r="752" spans="17:17" ht="20.100000000000001" customHeight="1" x14ac:dyDescent="0.25">
      <c r="Q752" s="1"/>
    </row>
    <row r="753" spans="17:17" ht="20.100000000000001" customHeight="1" x14ac:dyDescent="0.25">
      <c r="Q753" s="1"/>
    </row>
    <row r="754" spans="17:17" ht="20.100000000000001" customHeight="1" x14ac:dyDescent="0.25">
      <c r="Q754" s="1"/>
    </row>
    <row r="755" spans="17:17" ht="20.100000000000001" customHeight="1" x14ac:dyDescent="0.25">
      <c r="Q755" s="1"/>
    </row>
    <row r="756" spans="17:17" ht="20.100000000000001" customHeight="1" x14ac:dyDescent="0.25">
      <c r="Q756" s="1"/>
    </row>
    <row r="757" spans="17:17" ht="20.100000000000001" customHeight="1" x14ac:dyDescent="0.25">
      <c r="Q757" s="1"/>
    </row>
    <row r="758" spans="17:17" ht="20.100000000000001" customHeight="1" x14ac:dyDescent="0.25">
      <c r="Q758" s="1"/>
    </row>
    <row r="759" spans="17:17" ht="20.100000000000001" customHeight="1" x14ac:dyDescent="0.25">
      <c r="Q759" s="1"/>
    </row>
    <row r="760" spans="17:17" ht="20.100000000000001" customHeight="1" x14ac:dyDescent="0.25">
      <c r="Q760" s="1"/>
    </row>
    <row r="761" spans="17:17" ht="20.100000000000001" customHeight="1" x14ac:dyDescent="0.25">
      <c r="Q761" s="1"/>
    </row>
    <row r="762" spans="17:17" ht="20.100000000000001" customHeight="1" x14ac:dyDescent="0.25">
      <c r="Q762" s="1"/>
    </row>
    <row r="763" spans="17:17" ht="20.100000000000001" customHeight="1" x14ac:dyDescent="0.25">
      <c r="Q763" s="1"/>
    </row>
    <row r="764" spans="17:17" ht="20.100000000000001" customHeight="1" x14ac:dyDescent="0.25">
      <c r="Q764" s="1"/>
    </row>
    <row r="765" spans="17:17" ht="20.100000000000001" customHeight="1" x14ac:dyDescent="0.25">
      <c r="Q765" s="1"/>
    </row>
    <row r="766" spans="17:17" ht="20.100000000000001" customHeight="1" x14ac:dyDescent="0.25">
      <c r="Q766" s="1"/>
    </row>
    <row r="767" spans="17:17" ht="20.100000000000001" customHeight="1" x14ac:dyDescent="0.25">
      <c r="Q767" s="1"/>
    </row>
    <row r="768" spans="17:17" ht="20.100000000000001" customHeight="1" x14ac:dyDescent="0.25">
      <c r="Q768" s="1"/>
    </row>
    <row r="769" spans="17:17" ht="20.100000000000001" customHeight="1" x14ac:dyDescent="0.25">
      <c r="Q769" s="1"/>
    </row>
    <row r="770" spans="17:17" ht="20.100000000000001" customHeight="1" x14ac:dyDescent="0.25">
      <c r="Q770" s="1"/>
    </row>
    <row r="771" spans="17:17" ht="20.100000000000001" customHeight="1" x14ac:dyDescent="0.25">
      <c r="Q771" s="1"/>
    </row>
    <row r="772" spans="17:17" ht="20.100000000000001" customHeight="1" x14ac:dyDescent="0.25">
      <c r="Q772" s="1"/>
    </row>
    <row r="773" spans="17:17" ht="20.100000000000001" customHeight="1" x14ac:dyDescent="0.25">
      <c r="Q773" s="1"/>
    </row>
    <row r="774" spans="17:17" ht="20.100000000000001" customHeight="1" x14ac:dyDescent="0.25">
      <c r="Q774" s="1"/>
    </row>
    <row r="775" spans="17:17" ht="20.100000000000001" customHeight="1" x14ac:dyDescent="0.25">
      <c r="Q775" s="1"/>
    </row>
    <row r="776" spans="17:17" ht="20.100000000000001" customHeight="1" x14ac:dyDescent="0.25">
      <c r="Q776" s="1"/>
    </row>
    <row r="777" spans="17:17" ht="20.100000000000001" customHeight="1" x14ac:dyDescent="0.25">
      <c r="Q777" s="1"/>
    </row>
    <row r="778" spans="17:17" ht="20.100000000000001" customHeight="1" x14ac:dyDescent="0.25">
      <c r="Q778" s="1"/>
    </row>
    <row r="779" spans="17:17" ht="20.100000000000001" customHeight="1" x14ac:dyDescent="0.25">
      <c r="Q779" s="1"/>
    </row>
    <row r="780" spans="17:17" ht="20.100000000000001" customHeight="1" x14ac:dyDescent="0.25">
      <c r="Q780" s="1"/>
    </row>
    <row r="781" spans="17:17" ht="20.100000000000001" customHeight="1" x14ac:dyDescent="0.25">
      <c r="Q781" s="1"/>
    </row>
    <row r="782" spans="17:17" ht="20.100000000000001" customHeight="1" x14ac:dyDescent="0.25">
      <c r="Q782" s="1"/>
    </row>
    <row r="783" spans="17:17" ht="20.100000000000001" customHeight="1" x14ac:dyDescent="0.25">
      <c r="Q783" s="1"/>
    </row>
    <row r="784" spans="17:17" ht="20.100000000000001" customHeight="1" x14ac:dyDescent="0.25">
      <c r="Q784" s="1"/>
    </row>
    <row r="785" spans="17:17" ht="20.100000000000001" customHeight="1" x14ac:dyDescent="0.25">
      <c r="Q785" s="1"/>
    </row>
    <row r="786" spans="17:17" ht="20.100000000000001" customHeight="1" x14ac:dyDescent="0.25">
      <c r="Q786" s="1"/>
    </row>
    <row r="787" spans="17:17" ht="20.100000000000001" customHeight="1" x14ac:dyDescent="0.25">
      <c r="Q787" s="1"/>
    </row>
    <row r="788" spans="17:17" ht="20.100000000000001" customHeight="1" x14ac:dyDescent="0.25">
      <c r="Q788" s="1"/>
    </row>
    <row r="789" spans="17:17" ht="20.100000000000001" customHeight="1" x14ac:dyDescent="0.25">
      <c r="Q789" s="1"/>
    </row>
    <row r="790" spans="17:17" ht="20.100000000000001" customHeight="1" x14ac:dyDescent="0.25">
      <c r="Q790" s="1"/>
    </row>
    <row r="791" spans="17:17" ht="20.100000000000001" customHeight="1" x14ac:dyDescent="0.25">
      <c r="Q791" s="1"/>
    </row>
    <row r="792" spans="17:17" ht="20.100000000000001" customHeight="1" x14ac:dyDescent="0.25">
      <c r="Q792" s="1"/>
    </row>
    <row r="793" spans="17:17" ht="20.100000000000001" customHeight="1" x14ac:dyDescent="0.25">
      <c r="Q793" s="1"/>
    </row>
    <row r="794" spans="17:17" ht="20.100000000000001" customHeight="1" x14ac:dyDescent="0.25">
      <c r="Q794" s="1"/>
    </row>
    <row r="795" spans="17:17" ht="20.100000000000001" customHeight="1" x14ac:dyDescent="0.25">
      <c r="Q795" s="1"/>
    </row>
    <row r="796" spans="17:17" ht="20.100000000000001" customHeight="1" x14ac:dyDescent="0.25">
      <c r="Q796" s="1"/>
    </row>
    <row r="797" spans="17:17" ht="20.100000000000001" customHeight="1" x14ac:dyDescent="0.25">
      <c r="Q797" s="1"/>
    </row>
    <row r="798" spans="17:17" ht="20.100000000000001" customHeight="1" x14ac:dyDescent="0.25">
      <c r="Q798" s="1"/>
    </row>
    <row r="799" spans="17:17" ht="20.100000000000001" customHeight="1" x14ac:dyDescent="0.25">
      <c r="Q799" s="1"/>
    </row>
    <row r="800" spans="17:17" ht="20.100000000000001" customHeight="1" x14ac:dyDescent="0.25">
      <c r="Q800" s="1"/>
    </row>
    <row r="801" spans="17:17" ht="20.100000000000001" customHeight="1" x14ac:dyDescent="0.25">
      <c r="Q801" s="1"/>
    </row>
    <row r="802" spans="17:17" ht="20.100000000000001" customHeight="1" x14ac:dyDescent="0.25">
      <c r="Q802" s="1"/>
    </row>
    <row r="803" spans="17:17" ht="20.100000000000001" customHeight="1" x14ac:dyDescent="0.25">
      <c r="Q803" s="1"/>
    </row>
    <row r="804" spans="17:17" ht="20.100000000000001" customHeight="1" x14ac:dyDescent="0.25">
      <c r="Q804" s="1"/>
    </row>
    <row r="805" spans="17:17" ht="20.100000000000001" customHeight="1" x14ac:dyDescent="0.25">
      <c r="Q805" s="1"/>
    </row>
    <row r="806" spans="17:17" ht="20.100000000000001" customHeight="1" x14ac:dyDescent="0.25">
      <c r="Q806" s="1"/>
    </row>
    <row r="807" spans="17:17" ht="20.100000000000001" customHeight="1" x14ac:dyDescent="0.25">
      <c r="Q807" s="1"/>
    </row>
    <row r="808" spans="17:17" ht="20.100000000000001" customHeight="1" x14ac:dyDescent="0.25">
      <c r="Q808" s="1"/>
    </row>
    <row r="809" spans="17:17" ht="20.100000000000001" customHeight="1" x14ac:dyDescent="0.25">
      <c r="Q809" s="1"/>
    </row>
    <row r="810" spans="17:17" ht="20.100000000000001" customHeight="1" x14ac:dyDescent="0.25">
      <c r="Q810" s="1"/>
    </row>
    <row r="811" spans="17:17" ht="20.100000000000001" customHeight="1" x14ac:dyDescent="0.25">
      <c r="Q811" s="1"/>
    </row>
    <row r="812" spans="17:17" ht="20.100000000000001" customHeight="1" x14ac:dyDescent="0.25">
      <c r="Q812" s="1"/>
    </row>
    <row r="813" spans="17:17" ht="20.100000000000001" customHeight="1" x14ac:dyDescent="0.25">
      <c r="Q813" s="1"/>
    </row>
    <row r="814" spans="17:17" ht="20.100000000000001" customHeight="1" x14ac:dyDescent="0.25">
      <c r="Q814" s="1"/>
    </row>
    <row r="815" spans="17:17" ht="20.100000000000001" customHeight="1" x14ac:dyDescent="0.25">
      <c r="Q815" s="1"/>
    </row>
    <row r="816" spans="17:17" ht="20.100000000000001" customHeight="1" x14ac:dyDescent="0.25">
      <c r="Q816" s="1"/>
    </row>
    <row r="817" spans="17:17" ht="20.100000000000001" customHeight="1" x14ac:dyDescent="0.25">
      <c r="Q817" s="1"/>
    </row>
    <row r="818" spans="17:17" ht="20.100000000000001" customHeight="1" x14ac:dyDescent="0.25">
      <c r="Q818" s="1"/>
    </row>
    <row r="819" spans="17:17" ht="20.100000000000001" customHeight="1" x14ac:dyDescent="0.25">
      <c r="Q819" s="1"/>
    </row>
    <row r="820" spans="17:17" ht="20.100000000000001" customHeight="1" x14ac:dyDescent="0.25">
      <c r="Q820" s="1"/>
    </row>
    <row r="821" spans="17:17" ht="20.100000000000001" customHeight="1" x14ac:dyDescent="0.25">
      <c r="Q821" s="1"/>
    </row>
    <row r="822" spans="17:17" ht="20.100000000000001" customHeight="1" x14ac:dyDescent="0.25">
      <c r="Q822" s="1"/>
    </row>
    <row r="823" spans="17:17" ht="20.100000000000001" customHeight="1" x14ac:dyDescent="0.25">
      <c r="Q823" s="1"/>
    </row>
    <row r="824" spans="17:17" ht="20.100000000000001" customHeight="1" x14ac:dyDescent="0.25">
      <c r="Q824" s="1"/>
    </row>
    <row r="825" spans="17:17" ht="20.100000000000001" customHeight="1" x14ac:dyDescent="0.25">
      <c r="Q825" s="1"/>
    </row>
    <row r="826" spans="17:17" ht="20.100000000000001" customHeight="1" x14ac:dyDescent="0.25">
      <c r="Q826" s="1"/>
    </row>
    <row r="827" spans="17:17" ht="20.100000000000001" customHeight="1" x14ac:dyDescent="0.25">
      <c r="Q827" s="1"/>
    </row>
    <row r="828" spans="17:17" ht="20.100000000000001" customHeight="1" x14ac:dyDescent="0.25">
      <c r="Q828" s="1"/>
    </row>
    <row r="829" spans="17:17" ht="20.100000000000001" customHeight="1" x14ac:dyDescent="0.25">
      <c r="Q829" s="1"/>
    </row>
    <row r="830" spans="17:17" ht="20.100000000000001" customHeight="1" x14ac:dyDescent="0.25">
      <c r="Q830" s="1"/>
    </row>
    <row r="831" spans="17:17" ht="20.100000000000001" customHeight="1" x14ac:dyDescent="0.25">
      <c r="Q831" s="1"/>
    </row>
    <row r="832" spans="17:17" ht="20.100000000000001" customHeight="1" x14ac:dyDescent="0.25">
      <c r="Q832" s="1"/>
    </row>
    <row r="833" spans="17:17" ht="20.100000000000001" customHeight="1" x14ac:dyDescent="0.25">
      <c r="Q833" s="1"/>
    </row>
    <row r="834" spans="17:17" ht="20.100000000000001" customHeight="1" x14ac:dyDescent="0.25">
      <c r="Q834" s="1"/>
    </row>
    <row r="835" spans="17:17" ht="20.100000000000001" customHeight="1" x14ac:dyDescent="0.25">
      <c r="Q835" s="1"/>
    </row>
    <row r="836" spans="17:17" ht="20.100000000000001" customHeight="1" x14ac:dyDescent="0.25">
      <c r="Q836" s="1"/>
    </row>
    <row r="837" spans="17:17" ht="20.100000000000001" customHeight="1" x14ac:dyDescent="0.25">
      <c r="Q837" s="1"/>
    </row>
    <row r="838" spans="17:17" ht="20.100000000000001" customHeight="1" x14ac:dyDescent="0.25">
      <c r="Q838" s="1"/>
    </row>
    <row r="839" spans="17:17" ht="20.100000000000001" customHeight="1" x14ac:dyDescent="0.25">
      <c r="Q839" s="1"/>
    </row>
    <row r="840" spans="17:17" ht="20.100000000000001" customHeight="1" x14ac:dyDescent="0.25">
      <c r="Q840" s="1"/>
    </row>
    <row r="841" spans="17:17" ht="20.100000000000001" customHeight="1" x14ac:dyDescent="0.25">
      <c r="Q841" s="1"/>
    </row>
    <row r="842" spans="17:17" ht="20.100000000000001" customHeight="1" x14ac:dyDescent="0.25">
      <c r="Q842" s="1"/>
    </row>
    <row r="843" spans="17:17" ht="20.100000000000001" customHeight="1" x14ac:dyDescent="0.25">
      <c r="Q843" s="1"/>
    </row>
    <row r="844" spans="17:17" ht="20.100000000000001" customHeight="1" x14ac:dyDescent="0.25">
      <c r="Q844" s="1"/>
    </row>
    <row r="845" spans="17:17" ht="20.100000000000001" customHeight="1" x14ac:dyDescent="0.25">
      <c r="Q845" s="1"/>
    </row>
    <row r="846" spans="17:17" ht="20.100000000000001" customHeight="1" x14ac:dyDescent="0.25">
      <c r="Q846" s="1"/>
    </row>
    <row r="847" spans="17:17" ht="20.100000000000001" customHeight="1" x14ac:dyDescent="0.25">
      <c r="Q847" s="1"/>
    </row>
    <row r="848" spans="17:17" ht="20.100000000000001" customHeight="1" x14ac:dyDescent="0.25">
      <c r="Q848" s="1"/>
    </row>
    <row r="849" spans="17:17" ht="20.100000000000001" customHeight="1" x14ac:dyDescent="0.25">
      <c r="Q849" s="1"/>
    </row>
    <row r="850" spans="17:17" ht="20.100000000000001" customHeight="1" x14ac:dyDescent="0.25">
      <c r="Q850" s="1"/>
    </row>
    <row r="851" spans="17:17" ht="20.100000000000001" customHeight="1" x14ac:dyDescent="0.25">
      <c r="Q851" s="1"/>
    </row>
    <row r="852" spans="17:17" ht="20.100000000000001" customHeight="1" x14ac:dyDescent="0.25">
      <c r="Q852" s="1"/>
    </row>
    <row r="853" spans="17:17" ht="20.100000000000001" customHeight="1" x14ac:dyDescent="0.25">
      <c r="Q853" s="1"/>
    </row>
    <row r="854" spans="17:17" ht="20.100000000000001" customHeight="1" x14ac:dyDescent="0.25">
      <c r="Q854" s="1"/>
    </row>
    <row r="855" spans="17:17" ht="20.100000000000001" customHeight="1" x14ac:dyDescent="0.25">
      <c r="Q855" s="1"/>
    </row>
    <row r="856" spans="17:17" ht="20.100000000000001" customHeight="1" x14ac:dyDescent="0.25">
      <c r="Q856" s="1"/>
    </row>
    <row r="857" spans="17:17" x14ac:dyDescent="0.25">
      <c r="Q857" s="1"/>
    </row>
    <row r="858" spans="17:17" x14ac:dyDescent="0.25">
      <c r="Q858" s="1"/>
    </row>
    <row r="859" spans="17:17" x14ac:dyDescent="0.25">
      <c r="Q859" s="1"/>
    </row>
    <row r="860" spans="17:17" x14ac:dyDescent="0.25">
      <c r="Q860" s="1"/>
    </row>
    <row r="861" spans="17:17" x14ac:dyDescent="0.25">
      <c r="Q861" s="1"/>
    </row>
    <row r="862" spans="17:17" x14ac:dyDescent="0.25">
      <c r="Q862" s="1"/>
    </row>
    <row r="863" spans="17:17" x14ac:dyDescent="0.25">
      <c r="Q863" s="1"/>
    </row>
    <row r="864" spans="17:17" x14ac:dyDescent="0.25">
      <c r="Q864" s="1"/>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 Table</vt:lpstr>
      <vt:lpstr>البيانات</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hp</dc:creator>
  <cp:keywords/>
  <dc:description/>
  <cp:lastModifiedBy>t51368</cp:lastModifiedBy>
  <cp:revision/>
  <dcterms:created xsi:type="dcterms:W3CDTF">2015-06-05T18:17:20Z</dcterms:created>
  <dcterms:modified xsi:type="dcterms:W3CDTF">2026-05-17T06:36:23Z</dcterms:modified>
  <cp:category/>
  <cp:contentStatus/>
</cp:coreProperties>
</file>